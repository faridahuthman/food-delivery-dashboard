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https://d.docs.live.net/9edd27793a8a6ed6/Documents/Data Analysis/"/>
    </mc:Choice>
  </mc:AlternateContent>
  <xr:revisionPtr revIDLastSave="4" documentId="13_ncr:1_{60100FAA-42D5-4E2B-B614-E7689C3E7EDA}" xr6:coauthVersionLast="47" xr6:coauthVersionMax="47" xr10:uidLastSave="{D0168D3B-18F5-4354-93BE-4EE62818599F}"/>
  <bookViews>
    <workbookView xWindow="-120" yWindow="-120" windowWidth="20730" windowHeight="11160" activeTab="2" xr2:uid="{00000000-000D-0000-FFFF-FFFF00000000}"/>
  </bookViews>
  <sheets>
    <sheet name="PG 1" sheetId="5" r:id="rId1"/>
    <sheet name="PG 2" sheetId="7" r:id="rId2"/>
    <sheet name="RAW DATA" sheetId="1" r:id="rId3"/>
    <sheet name="HANDS_ON" sheetId="2" r:id="rId4"/>
    <sheet name="PIVOT KPI " sheetId="3" r:id="rId5"/>
    <sheet name="OVERVIEW" sheetId="4" r:id="rId6"/>
    <sheet name="DRIVERS" sheetId="6" r:id="rId7"/>
  </sheets>
  <definedNames>
    <definedName name="Slicer_customer_zone">#N/A</definedName>
    <definedName name="Slicer_delivery_mode">#N/A</definedName>
    <definedName name="Slicer_restaurant_zone">#N/A</definedName>
    <definedName name="Slicer_traffic_level">#N/A</definedName>
    <definedName name="Slicer_weather">#N/A</definedName>
    <definedName name="Time_Target">HANDS_ON!$S$3</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2" l="1" a="1"/>
  <c r="Q2" i="2" s="1"/>
  <c r="Q3" i="2" a="1"/>
  <c r="Q3" i="2" s="1"/>
  <c r="Q4" i="2" a="1"/>
  <c r="Q4" i="2"/>
  <c r="Q5" i="2" a="1"/>
  <c r="Q5" i="2" s="1"/>
  <c r="Q6" i="2" a="1"/>
  <c r="Q6" i="2" s="1"/>
  <c r="Q7" i="2" a="1"/>
  <c r="Q7" i="2" s="1"/>
  <c r="Q8" i="2" a="1"/>
  <c r="Q8" i="2"/>
  <c r="Q9" i="2" a="1"/>
  <c r="Q9" i="2" s="1"/>
  <c r="Q10" i="2" a="1"/>
  <c r="Q10" i="2" s="1"/>
  <c r="Q11" i="2" a="1"/>
  <c r="Q11" i="2" s="1"/>
  <c r="Q12" i="2" a="1"/>
  <c r="Q12" i="2"/>
  <c r="Q13" i="2" a="1"/>
  <c r="Q13" i="2" s="1"/>
  <c r="Q14" i="2" a="1"/>
  <c r="Q14" i="2" s="1"/>
  <c r="Q15" i="2" a="1"/>
  <c r="Q15" i="2" s="1"/>
  <c r="Q16" i="2" a="1"/>
  <c r="Q16" i="2"/>
  <c r="Q17" i="2" a="1"/>
  <c r="Q17" i="2" s="1"/>
  <c r="Q18" i="2" a="1"/>
  <c r="Q18" i="2" s="1"/>
  <c r="Q19" i="2" a="1"/>
  <c r="Q19" i="2" s="1"/>
  <c r="Q20" i="2" a="1"/>
  <c r="Q20" i="2"/>
  <c r="Q21" i="2" a="1"/>
  <c r="Q21" i="2" s="1"/>
  <c r="Q22" i="2" a="1"/>
  <c r="Q22" i="2" s="1"/>
  <c r="Q23" i="2" a="1"/>
  <c r="Q23" i="2" s="1"/>
  <c r="Q24" i="2" a="1"/>
  <c r="Q24" i="2"/>
  <c r="Q25" i="2" a="1"/>
  <c r="Q25" i="2" s="1"/>
  <c r="Q26" i="2" a="1"/>
  <c r="Q26" i="2" s="1"/>
  <c r="Q27" i="2" a="1"/>
  <c r="Q27" i="2" s="1"/>
  <c r="Q28" i="2" a="1"/>
  <c r="Q28" i="2"/>
  <c r="Q29" i="2" a="1"/>
  <c r="Q29" i="2" s="1"/>
  <c r="Q30" i="2" a="1"/>
  <c r="Q30" i="2" s="1"/>
  <c r="Q31" i="2" a="1"/>
  <c r="Q31" i="2" s="1"/>
  <c r="Q32" i="2" a="1"/>
  <c r="Q32" i="2"/>
  <c r="Q33" i="2" a="1"/>
  <c r="Q33" i="2" s="1"/>
  <c r="Q34" i="2" a="1"/>
  <c r="Q34" i="2" s="1"/>
  <c r="Q35" i="2" a="1"/>
  <c r="Q35" i="2" s="1"/>
  <c r="Q36" i="2" a="1"/>
  <c r="Q36" i="2"/>
  <c r="Q37" i="2" a="1"/>
  <c r="Q37" i="2" s="1"/>
  <c r="Q38" i="2" a="1"/>
  <c r="Q38" i="2" s="1"/>
  <c r="Q39" i="2" a="1"/>
  <c r="Q39" i="2" s="1"/>
  <c r="Q40" i="2" a="1"/>
  <c r="Q40" i="2"/>
  <c r="Q41" i="2" a="1"/>
  <c r="Q41" i="2" s="1"/>
  <c r="Q42" i="2" a="1"/>
  <c r="Q42" i="2" s="1"/>
  <c r="Q43" i="2" a="1"/>
  <c r="Q43" i="2" s="1"/>
  <c r="Q44" i="2" a="1"/>
  <c r="Q44" i="2"/>
  <c r="Q45" i="2" a="1"/>
  <c r="Q45" i="2" s="1"/>
  <c r="Q46" i="2" a="1"/>
  <c r="Q46" i="2" s="1"/>
  <c r="Q47" i="2" a="1"/>
  <c r="Q47" i="2" s="1"/>
  <c r="Q48" i="2" a="1"/>
  <c r="Q48" i="2"/>
  <c r="Q49" i="2" a="1"/>
  <c r="Q49" i="2" s="1"/>
  <c r="Q50" i="2" a="1"/>
  <c r="Q50" i="2" s="1"/>
  <c r="Q51" i="2" a="1"/>
  <c r="Q51" i="2" s="1"/>
  <c r="Q52" i="2" a="1"/>
  <c r="Q52" i="2"/>
  <c r="Q53" i="2" a="1"/>
  <c r="Q53" i="2" s="1"/>
  <c r="Q54" i="2" a="1"/>
  <c r="Q54" i="2" s="1"/>
  <c r="Q55" i="2" a="1"/>
  <c r="Q55" i="2" s="1"/>
  <c r="Q56" i="2" a="1"/>
  <c r="Q56" i="2"/>
  <c r="Q57" i="2" a="1"/>
  <c r="Q57" i="2" s="1"/>
  <c r="Q58" i="2" a="1"/>
  <c r="Q58" i="2" s="1"/>
  <c r="Q59" i="2" a="1"/>
  <c r="Q59" i="2" s="1"/>
  <c r="Q60" i="2" a="1"/>
  <c r="Q60" i="2"/>
  <c r="Q61" i="2" a="1"/>
  <c r="Q61" i="2" s="1"/>
  <c r="Q62" i="2" a="1"/>
  <c r="Q62" i="2" s="1"/>
  <c r="Q63" i="2" a="1"/>
  <c r="Q63" i="2" s="1"/>
  <c r="Q64" i="2" a="1"/>
  <c r="Q64" i="2"/>
  <c r="Q65" i="2" a="1"/>
  <c r="Q65" i="2" s="1"/>
  <c r="Q66" i="2" a="1"/>
  <c r="Q66" i="2" s="1"/>
  <c r="Q67" i="2" a="1"/>
  <c r="Q67" i="2" s="1"/>
  <c r="Q68" i="2" a="1"/>
  <c r="Q68" i="2"/>
  <c r="Q69" i="2" a="1"/>
  <c r="Q69" i="2" s="1"/>
  <c r="Q70" i="2" a="1"/>
  <c r="Q70" i="2" s="1"/>
  <c r="Q71" i="2" a="1"/>
  <c r="Q71" i="2" s="1"/>
  <c r="Q72" i="2" a="1"/>
  <c r="Q72" i="2"/>
  <c r="Q73" i="2" a="1"/>
  <c r="Q73" i="2" s="1"/>
  <c r="Q74" i="2" a="1"/>
  <c r="Q74" i="2" s="1"/>
  <c r="Q75" i="2" a="1"/>
  <c r="Q75" i="2" s="1"/>
  <c r="Q76" i="2" a="1"/>
  <c r="Q76" i="2"/>
  <c r="Q77" i="2" a="1"/>
  <c r="Q77" i="2" s="1"/>
  <c r="Q78" i="2" a="1"/>
  <c r="Q78" i="2" s="1"/>
  <c r="Q79" i="2" a="1"/>
  <c r="Q79" i="2" s="1"/>
  <c r="Q80" i="2" a="1"/>
  <c r="Q80" i="2"/>
  <c r="Q81" i="2" a="1"/>
  <c r="Q81" i="2" s="1"/>
  <c r="Q82" i="2" a="1"/>
  <c r="Q82" i="2" s="1"/>
  <c r="Q83" i="2" a="1"/>
  <c r="Q83" i="2" s="1"/>
  <c r="Q84" i="2" a="1"/>
  <c r="Q84" i="2"/>
  <c r="Q85" i="2" a="1"/>
  <c r="Q85" i="2" s="1"/>
  <c r="Q86" i="2" a="1"/>
  <c r="Q86" i="2" s="1"/>
  <c r="Q87" i="2" a="1"/>
  <c r="Q87" i="2" s="1"/>
  <c r="Q88" i="2" a="1"/>
  <c r="Q88" i="2"/>
  <c r="Q89" i="2" a="1"/>
  <c r="Q89" i="2" s="1"/>
  <c r="Q90" i="2" a="1"/>
  <c r="Q90" i="2" s="1"/>
  <c r="Q91" i="2" a="1"/>
  <c r="Q91" i="2" s="1"/>
  <c r="Q92" i="2" a="1"/>
  <c r="Q92" i="2"/>
  <c r="Q93" i="2" a="1"/>
  <c r="Q93" i="2" s="1"/>
  <c r="Q94" i="2" a="1"/>
  <c r="Q94" i="2" s="1"/>
  <c r="Q95" i="2" a="1"/>
  <c r="Q95" i="2" s="1"/>
  <c r="Q96" i="2" a="1"/>
  <c r="Q96" i="2"/>
  <c r="Q97" i="2" a="1"/>
  <c r="Q97" i="2" s="1"/>
  <c r="Q98" i="2" a="1"/>
  <c r="Q98" i="2" s="1"/>
  <c r="Q99" i="2" a="1"/>
  <c r="Q99" i="2" s="1"/>
  <c r="Q100" i="2" a="1"/>
  <c r="Q100" i="2"/>
  <c r="Q101" i="2" a="1"/>
  <c r="Q101" i="2" s="1"/>
  <c r="Q102" i="2" a="1"/>
  <c r="Q102" i="2" s="1"/>
  <c r="Q103" i="2" a="1"/>
  <c r="Q103" i="2" s="1"/>
  <c r="Q104" i="2" a="1"/>
  <c r="Q104" i="2"/>
  <c r="Q105" i="2" a="1"/>
  <c r="Q105" i="2" s="1"/>
  <c r="Q106" i="2" a="1"/>
  <c r="Q106" i="2" s="1"/>
  <c r="Q107" i="2" a="1"/>
  <c r="Q107" i="2" s="1"/>
  <c r="Q108" i="2" a="1"/>
  <c r="Q108" i="2"/>
  <c r="Q109" i="2" a="1"/>
  <c r="Q109" i="2" s="1"/>
  <c r="Q110" i="2" a="1"/>
  <c r="Q110" i="2" s="1"/>
  <c r="Q111" i="2" a="1"/>
  <c r="Q111" i="2" s="1"/>
  <c r="Q112" i="2" a="1"/>
  <c r="Q112" i="2"/>
  <c r="Q113" i="2" a="1"/>
  <c r="Q113" i="2" s="1"/>
  <c r="Q114" i="2" a="1"/>
  <c r="Q114" i="2" s="1"/>
  <c r="Q115" i="2" a="1"/>
  <c r="Q115" i="2" s="1"/>
  <c r="Q116" i="2" a="1"/>
  <c r="Q116" i="2"/>
  <c r="Q117" i="2" a="1"/>
  <c r="Q117" i="2" s="1"/>
  <c r="Q118" i="2" a="1"/>
  <c r="Q118" i="2" s="1"/>
  <c r="Q119" i="2" a="1"/>
  <c r="Q119" i="2" s="1"/>
  <c r="Q120" i="2" a="1"/>
  <c r="Q120" i="2"/>
  <c r="Q121" i="2" a="1"/>
  <c r="Q121" i="2" s="1"/>
  <c r="Q122" i="2" a="1"/>
  <c r="Q122" i="2" s="1"/>
  <c r="Q123" i="2" a="1"/>
  <c r="Q123" i="2" s="1"/>
  <c r="Q124" i="2" a="1"/>
  <c r="Q124" i="2"/>
  <c r="Q125" i="2" a="1"/>
  <c r="Q125" i="2" s="1"/>
  <c r="Q126" i="2" a="1"/>
  <c r="Q126" i="2" s="1"/>
  <c r="Q127" i="2" a="1"/>
  <c r="Q127" i="2" s="1"/>
  <c r="Q128" i="2" a="1"/>
  <c r="Q128" i="2"/>
  <c r="Q129" i="2" a="1"/>
  <c r="Q129" i="2" s="1"/>
  <c r="Q130" i="2" a="1"/>
  <c r="Q130" i="2" s="1"/>
  <c r="Q131" i="2" a="1"/>
  <c r="Q131" i="2" s="1"/>
  <c r="Q132" i="2" a="1"/>
  <c r="Q132" i="2"/>
  <c r="Q133" i="2" a="1"/>
  <c r="Q133" i="2" s="1"/>
  <c r="Q134" i="2" a="1"/>
  <c r="Q134" i="2" s="1"/>
  <c r="Q135" i="2" a="1"/>
  <c r="Q135" i="2" s="1"/>
  <c r="Q136" i="2" a="1"/>
  <c r="Q136" i="2"/>
  <c r="Q137" i="2" a="1"/>
  <c r="Q137" i="2" s="1"/>
  <c r="Q138" i="2" a="1"/>
  <c r="Q138" i="2" s="1"/>
  <c r="Q139" i="2" a="1"/>
  <c r="Q139" i="2" s="1"/>
  <c r="Q140" i="2" a="1"/>
  <c r="Q140" i="2"/>
  <c r="Q141" i="2" a="1"/>
  <c r="Q141" i="2" s="1"/>
  <c r="Q142" i="2" a="1"/>
  <c r="Q142" i="2" s="1"/>
  <c r="Q143" i="2" a="1"/>
  <c r="Q143" i="2" s="1"/>
  <c r="Q144" i="2" a="1"/>
  <c r="Q144" i="2"/>
  <c r="Q145" i="2" a="1"/>
  <c r="Q145" i="2" s="1"/>
  <c r="Q146" i="2" a="1"/>
  <c r="Q146" i="2" s="1"/>
  <c r="Q147" i="2" a="1"/>
  <c r="Q147" i="2" s="1"/>
  <c r="Q148" i="2" a="1"/>
  <c r="Q148" i="2"/>
  <c r="Q149" i="2" a="1"/>
  <c r="Q149" i="2" s="1"/>
  <c r="Q150" i="2" a="1"/>
  <c r="Q150" i="2" s="1"/>
  <c r="Q151" i="2" a="1"/>
  <c r="Q151" i="2" s="1"/>
  <c r="Q152" i="2" a="1"/>
  <c r="Q152" i="2"/>
  <c r="Q153" i="2" a="1"/>
  <c r="Q153" i="2" s="1"/>
  <c r="Q154" i="2" a="1"/>
  <c r="Q154" i="2" s="1"/>
  <c r="Q155" i="2" a="1"/>
  <c r="Q155" i="2" s="1"/>
  <c r="Q156" i="2" a="1"/>
  <c r="Q156" i="2"/>
  <c r="Q157" i="2" a="1"/>
  <c r="Q157" i="2" s="1"/>
  <c r="Q158" i="2" a="1"/>
  <c r="Q158" i="2" s="1"/>
  <c r="Q159" i="2" a="1"/>
  <c r="Q159" i="2" s="1"/>
  <c r="Q160" i="2" a="1"/>
  <c r="Q160" i="2"/>
  <c r="Q161" i="2" a="1"/>
  <c r="Q161" i="2" s="1"/>
  <c r="Q162" i="2" a="1"/>
  <c r="Q162" i="2" s="1"/>
  <c r="Q163" i="2" a="1"/>
  <c r="Q163" i="2" s="1"/>
  <c r="Q164" i="2" a="1"/>
  <c r="Q164" i="2"/>
  <c r="Q165" i="2" a="1"/>
  <c r="Q165" i="2" s="1"/>
  <c r="Q166" i="2" a="1"/>
  <c r="Q166" i="2" s="1"/>
  <c r="Q167" i="2" a="1"/>
  <c r="Q167" i="2" s="1"/>
  <c r="Q168" i="2" a="1"/>
  <c r="Q168" i="2"/>
  <c r="Q169" i="2" a="1"/>
  <c r="Q169" i="2" s="1"/>
  <c r="Q170" i="2" a="1"/>
  <c r="Q170" i="2" s="1"/>
  <c r="Q171" i="2" a="1"/>
  <c r="Q171" i="2" s="1"/>
  <c r="Q172" i="2" a="1"/>
  <c r="Q172" i="2"/>
  <c r="Q173" i="2" a="1"/>
  <c r="Q173" i="2"/>
  <c r="Q174" i="2" a="1"/>
  <c r="Q174" i="2"/>
  <c r="Q175" i="2" a="1"/>
  <c r="Q175" i="2"/>
  <c r="Q176" i="2" a="1"/>
  <c r="Q176" i="2"/>
  <c r="Q177" i="2" a="1"/>
  <c r="Q177" i="2"/>
  <c r="Q178" i="2" a="1"/>
  <c r="Q178" i="2"/>
  <c r="Q179" i="2" a="1"/>
  <c r="Q179" i="2"/>
  <c r="Q180" i="2" a="1"/>
  <c r="Q180" i="2"/>
  <c r="Q181" i="2" a="1"/>
  <c r="Q181" i="2"/>
  <c r="Q182" i="2" a="1"/>
  <c r="Q182" i="2"/>
  <c r="Q183" i="2" a="1"/>
  <c r="Q183" i="2"/>
  <c r="Q184" i="2" a="1"/>
  <c r="Q184" i="2"/>
  <c r="Q185" i="2" a="1"/>
  <c r="Q185" i="2"/>
  <c r="Q186" i="2" a="1"/>
  <c r="Q186" i="2"/>
  <c r="Q187" i="2" a="1"/>
  <c r="Q187" i="2"/>
  <c r="Q188" i="2" a="1"/>
  <c r="Q188" i="2"/>
  <c r="Q189" i="2" a="1"/>
  <c r="Q189" i="2"/>
  <c r="Q190" i="2" a="1"/>
  <c r="Q190" i="2"/>
  <c r="Q191" i="2" a="1"/>
  <c r="Q191" i="2"/>
  <c r="Q192" i="2" a="1"/>
  <c r="Q192" i="2"/>
  <c r="Q193" i="2" a="1"/>
  <c r="Q193" i="2"/>
  <c r="Q194" i="2" a="1"/>
  <c r="Q194" i="2"/>
  <c r="Q195" i="2" a="1"/>
  <c r="Q195" i="2" s="1"/>
  <c r="Q196" i="2" a="1"/>
  <c r="Q196" i="2"/>
  <c r="Q197" i="2" a="1"/>
  <c r="Q197" i="2" s="1"/>
  <c r="Q198" i="2" a="1"/>
  <c r="Q198" i="2"/>
  <c r="Q199" i="2" a="1"/>
  <c r="Q199" i="2" s="1"/>
  <c r="Q200" i="2" a="1"/>
  <c r="Q200" i="2"/>
  <c r="Q201" i="2" a="1"/>
  <c r="Q201" i="2" s="1"/>
  <c r="P2" i="2" a="1"/>
  <c r="P2" i="2" s="1"/>
  <c r="P3" i="2" a="1"/>
  <c r="P3" i="2" s="1"/>
  <c r="P4" i="2" a="1"/>
  <c r="P4" i="2" s="1"/>
  <c r="P5" i="2" a="1"/>
  <c r="P5" i="2" s="1"/>
  <c r="P6" i="2" a="1"/>
  <c r="P6" i="2" s="1"/>
  <c r="P7" i="2" a="1"/>
  <c r="P7" i="2" s="1"/>
  <c r="P8" i="2" a="1"/>
  <c r="P8" i="2" s="1"/>
  <c r="P9" i="2" a="1"/>
  <c r="P9" i="2" s="1"/>
  <c r="P10" i="2" a="1"/>
  <c r="P10" i="2" s="1"/>
  <c r="P11" i="2" a="1"/>
  <c r="P11" i="2" s="1"/>
  <c r="P12" i="2" a="1"/>
  <c r="P12" i="2" s="1"/>
  <c r="P13" i="2" a="1"/>
  <c r="P13" i="2" s="1"/>
  <c r="P14" i="2" a="1"/>
  <c r="P14" i="2" s="1"/>
  <c r="P15" i="2" a="1"/>
  <c r="P15" i="2" s="1"/>
  <c r="P16" i="2" a="1"/>
  <c r="P16" i="2" s="1"/>
  <c r="P17" i="2" a="1"/>
  <c r="P17" i="2" s="1"/>
  <c r="P18" i="2" a="1"/>
  <c r="P18" i="2"/>
  <c r="P19" i="2" a="1"/>
  <c r="P19" i="2" s="1"/>
  <c r="P20" i="2" a="1"/>
  <c r="P20" i="2" s="1"/>
  <c r="P21" i="2" a="1"/>
  <c r="P21" i="2" s="1"/>
  <c r="P22" i="2" a="1"/>
  <c r="P22" i="2" s="1"/>
  <c r="P23" i="2" a="1"/>
  <c r="P23" i="2" s="1"/>
  <c r="P24" i="2" a="1"/>
  <c r="P24" i="2" s="1"/>
  <c r="P25" i="2" a="1"/>
  <c r="P25" i="2" s="1"/>
  <c r="P26" i="2" a="1"/>
  <c r="P26" i="2" s="1"/>
  <c r="P27" i="2" a="1"/>
  <c r="P27" i="2" s="1"/>
  <c r="P28" i="2" a="1"/>
  <c r="P28" i="2" s="1"/>
  <c r="P29" i="2" a="1"/>
  <c r="P29" i="2" s="1"/>
  <c r="P30" i="2" a="1"/>
  <c r="P30" i="2" s="1"/>
  <c r="P31" i="2" a="1"/>
  <c r="P31" i="2" s="1"/>
  <c r="P32" i="2" a="1"/>
  <c r="P32" i="2" s="1"/>
  <c r="P33" i="2" a="1"/>
  <c r="P33" i="2" s="1"/>
  <c r="P34" i="2" a="1"/>
  <c r="P34" i="2"/>
  <c r="P35" i="2" a="1"/>
  <c r="P35" i="2" s="1"/>
  <c r="P36" i="2" a="1"/>
  <c r="P36" i="2" s="1"/>
  <c r="P37" i="2" a="1"/>
  <c r="P37" i="2" s="1"/>
  <c r="P38" i="2" a="1"/>
  <c r="P38" i="2" s="1"/>
  <c r="P39" i="2" a="1"/>
  <c r="P39" i="2" s="1"/>
  <c r="P40" i="2" a="1"/>
  <c r="P40" i="2" s="1"/>
  <c r="P41" i="2" a="1"/>
  <c r="P41" i="2" s="1"/>
  <c r="P42" i="2" a="1"/>
  <c r="P42" i="2" s="1"/>
  <c r="P43" i="2" a="1"/>
  <c r="P43" i="2" s="1"/>
  <c r="P44" i="2" a="1"/>
  <c r="P44" i="2" s="1"/>
  <c r="P45" i="2" a="1"/>
  <c r="P45" i="2" s="1"/>
  <c r="P46" i="2" a="1"/>
  <c r="P46" i="2" s="1"/>
  <c r="P47" i="2" a="1"/>
  <c r="P47" i="2" s="1"/>
  <c r="P48" i="2" a="1"/>
  <c r="P48" i="2" s="1"/>
  <c r="P49" i="2" a="1"/>
  <c r="P49" i="2" s="1"/>
  <c r="P50" i="2" a="1"/>
  <c r="P50" i="2"/>
  <c r="P51" i="2" a="1"/>
  <c r="P51" i="2" s="1"/>
  <c r="P52" i="2" a="1"/>
  <c r="P52" i="2" s="1"/>
  <c r="P53" i="2" a="1"/>
  <c r="P53" i="2" s="1"/>
  <c r="P54" i="2" a="1"/>
  <c r="P54" i="2" s="1"/>
  <c r="P55" i="2" a="1"/>
  <c r="P55" i="2" s="1"/>
  <c r="P56" i="2" a="1"/>
  <c r="P56" i="2" s="1"/>
  <c r="P57" i="2" a="1"/>
  <c r="P57" i="2" s="1"/>
  <c r="P58" i="2" a="1"/>
  <c r="P58" i="2" s="1"/>
  <c r="P59" i="2" a="1"/>
  <c r="P59" i="2" s="1"/>
  <c r="P60" i="2" a="1"/>
  <c r="P60" i="2" s="1"/>
  <c r="P61" i="2" a="1"/>
  <c r="P61" i="2" s="1"/>
  <c r="P62" i="2" a="1"/>
  <c r="P62" i="2" s="1"/>
  <c r="P63" i="2" a="1"/>
  <c r="P63" i="2" s="1"/>
  <c r="P64" i="2" a="1"/>
  <c r="P64" i="2" s="1"/>
  <c r="P65" i="2" a="1"/>
  <c r="P65" i="2" s="1"/>
  <c r="P66" i="2" a="1"/>
  <c r="P66" i="2"/>
  <c r="P67" i="2" a="1"/>
  <c r="P67" i="2" s="1"/>
  <c r="P68" i="2" a="1"/>
  <c r="P68" i="2" s="1"/>
  <c r="P69" i="2" a="1"/>
  <c r="P69" i="2" s="1"/>
  <c r="P70" i="2" a="1"/>
  <c r="P70" i="2" s="1"/>
  <c r="P71" i="2" a="1"/>
  <c r="P71" i="2" s="1"/>
  <c r="P72" i="2" a="1"/>
  <c r="P72" i="2" s="1"/>
  <c r="P73" i="2" a="1"/>
  <c r="P73" i="2" s="1"/>
  <c r="P74" i="2" a="1"/>
  <c r="P74" i="2" s="1"/>
  <c r="P75" i="2" a="1"/>
  <c r="P75" i="2" s="1"/>
  <c r="P76" i="2" a="1"/>
  <c r="P76" i="2" s="1"/>
  <c r="P77" i="2" a="1"/>
  <c r="P77" i="2" s="1"/>
  <c r="P78" i="2" a="1"/>
  <c r="P78" i="2" s="1"/>
  <c r="P79" i="2" a="1"/>
  <c r="P79" i="2" s="1"/>
  <c r="P80" i="2" a="1"/>
  <c r="P80" i="2" s="1"/>
  <c r="P81" i="2" a="1"/>
  <c r="P81" i="2" s="1"/>
  <c r="P82" i="2" a="1"/>
  <c r="P82" i="2"/>
  <c r="P83" i="2" a="1"/>
  <c r="P83" i="2" s="1"/>
  <c r="P84" i="2" a="1"/>
  <c r="P84" i="2" s="1"/>
  <c r="P85" i="2" a="1"/>
  <c r="P85" i="2" s="1"/>
  <c r="P86" i="2" a="1"/>
  <c r="P86" i="2" s="1"/>
  <c r="P87" i="2" a="1"/>
  <c r="P87" i="2" s="1"/>
  <c r="P88" i="2" a="1"/>
  <c r="P88" i="2" s="1"/>
  <c r="P89" i="2" a="1"/>
  <c r="P89" i="2" s="1"/>
  <c r="P90" i="2" a="1"/>
  <c r="P90" i="2" s="1"/>
  <c r="P91" i="2" a="1"/>
  <c r="P91" i="2" s="1"/>
  <c r="P92" i="2" a="1"/>
  <c r="P92" i="2" s="1"/>
  <c r="P93" i="2" a="1"/>
  <c r="P93" i="2" s="1"/>
  <c r="P94" i="2" a="1"/>
  <c r="P94" i="2" s="1"/>
  <c r="P95" i="2" a="1"/>
  <c r="P95" i="2" s="1"/>
  <c r="P96" i="2" a="1"/>
  <c r="P96" i="2" s="1"/>
  <c r="P97" i="2" a="1"/>
  <c r="P97" i="2" s="1"/>
  <c r="P98" i="2" a="1"/>
  <c r="P98" i="2"/>
  <c r="P99" i="2" a="1"/>
  <c r="P99" i="2" s="1"/>
  <c r="P100" i="2" a="1"/>
  <c r="P100" i="2" s="1"/>
  <c r="P101" i="2" a="1"/>
  <c r="P101" i="2" s="1"/>
  <c r="P102" i="2" a="1"/>
  <c r="P102" i="2" s="1"/>
  <c r="P103" i="2" a="1"/>
  <c r="P103" i="2" s="1"/>
  <c r="P104" i="2" a="1"/>
  <c r="P104" i="2" s="1"/>
  <c r="P105" i="2" a="1"/>
  <c r="P105" i="2" s="1"/>
  <c r="P106" i="2" a="1"/>
  <c r="P106" i="2" s="1"/>
  <c r="P107" i="2" a="1"/>
  <c r="P107" i="2" s="1"/>
  <c r="P108" i="2" a="1"/>
  <c r="P108" i="2" s="1"/>
  <c r="P109" i="2" a="1"/>
  <c r="P109" i="2" s="1"/>
  <c r="P110" i="2" a="1"/>
  <c r="P110" i="2" s="1"/>
  <c r="P111" i="2" a="1"/>
  <c r="P111" i="2" s="1"/>
  <c r="P112" i="2" a="1"/>
  <c r="P112" i="2" s="1"/>
  <c r="P113" i="2" a="1"/>
  <c r="P113" i="2" s="1"/>
  <c r="P114" i="2" a="1"/>
  <c r="P114" i="2"/>
  <c r="P115" i="2" a="1"/>
  <c r="P115" i="2" s="1"/>
  <c r="P116" i="2" a="1"/>
  <c r="P116" i="2" s="1"/>
  <c r="P117" i="2" a="1"/>
  <c r="P117" i="2" s="1"/>
  <c r="P118" i="2" a="1"/>
  <c r="P118" i="2" s="1"/>
  <c r="P119" i="2" a="1"/>
  <c r="P119" i="2" s="1"/>
  <c r="P120" i="2" a="1"/>
  <c r="P120" i="2" s="1"/>
  <c r="P121" i="2" a="1"/>
  <c r="P121" i="2" s="1"/>
  <c r="P122" i="2" a="1"/>
  <c r="P122" i="2" s="1"/>
  <c r="P123" i="2" a="1"/>
  <c r="P123" i="2" s="1"/>
  <c r="P124" i="2" a="1"/>
  <c r="P124" i="2" s="1"/>
  <c r="P125" i="2" a="1"/>
  <c r="P125" i="2" s="1"/>
  <c r="P126" i="2" a="1"/>
  <c r="P126" i="2" s="1"/>
  <c r="P127" i="2" a="1"/>
  <c r="P127" i="2" s="1"/>
  <c r="P128" i="2" a="1"/>
  <c r="P128" i="2" s="1"/>
  <c r="P129" i="2" a="1"/>
  <c r="P129" i="2" s="1"/>
  <c r="P130" i="2" a="1"/>
  <c r="P130" i="2"/>
  <c r="P131" i="2" a="1"/>
  <c r="P131" i="2" s="1"/>
  <c r="P132" i="2" a="1"/>
  <c r="P132" i="2" s="1"/>
  <c r="P133" i="2" a="1"/>
  <c r="P133" i="2" s="1"/>
  <c r="P134" i="2" a="1"/>
  <c r="P134" i="2" s="1"/>
  <c r="P135" i="2" a="1"/>
  <c r="P135" i="2" s="1"/>
  <c r="P136" i="2" a="1"/>
  <c r="P136" i="2" s="1"/>
  <c r="P137" i="2" a="1"/>
  <c r="P137" i="2" s="1"/>
  <c r="P138" i="2" a="1"/>
  <c r="P138" i="2" s="1"/>
  <c r="P139" i="2" a="1"/>
  <c r="P139" i="2" s="1"/>
  <c r="P140" i="2" a="1"/>
  <c r="P140" i="2" s="1"/>
  <c r="P141" i="2" a="1"/>
  <c r="P141" i="2" s="1"/>
  <c r="P142" i="2" a="1"/>
  <c r="P142" i="2" s="1"/>
  <c r="P143" i="2" a="1"/>
  <c r="P143" i="2" s="1"/>
  <c r="P144" i="2" a="1"/>
  <c r="P144" i="2" s="1"/>
  <c r="P145" i="2" a="1"/>
  <c r="P145" i="2" s="1"/>
  <c r="P146" i="2" a="1"/>
  <c r="P146" i="2"/>
  <c r="P147" i="2" a="1"/>
  <c r="P147" i="2" s="1"/>
  <c r="P148" i="2" a="1"/>
  <c r="P148" i="2" s="1"/>
  <c r="P149" i="2" a="1"/>
  <c r="P149" i="2" s="1"/>
  <c r="P150" i="2" a="1"/>
  <c r="P150" i="2" s="1"/>
  <c r="P151" i="2" a="1"/>
  <c r="P151" i="2" s="1"/>
  <c r="P152" i="2" a="1"/>
  <c r="P152" i="2" s="1"/>
  <c r="P153" i="2" a="1"/>
  <c r="P153" i="2" s="1"/>
  <c r="P154" i="2" a="1"/>
  <c r="P154" i="2" s="1"/>
  <c r="P155" i="2" a="1"/>
  <c r="P155" i="2" s="1"/>
  <c r="P156" i="2" a="1"/>
  <c r="P156" i="2" s="1"/>
  <c r="P157" i="2" a="1"/>
  <c r="P157" i="2" s="1"/>
  <c r="P158" i="2" a="1"/>
  <c r="P158" i="2" s="1"/>
  <c r="P159" i="2" a="1"/>
  <c r="P159" i="2" s="1"/>
  <c r="P160" i="2" a="1"/>
  <c r="P160" i="2" s="1"/>
  <c r="P161" i="2" a="1"/>
  <c r="P161" i="2" s="1"/>
  <c r="P162" i="2" a="1"/>
  <c r="P162" i="2"/>
  <c r="P163" i="2" a="1"/>
  <c r="P163" i="2" s="1"/>
  <c r="P164" i="2" a="1"/>
  <c r="P164" i="2" s="1"/>
  <c r="P165" i="2" a="1"/>
  <c r="P165" i="2" s="1"/>
  <c r="P166" i="2" a="1"/>
  <c r="P166" i="2" s="1"/>
  <c r="P167" i="2" a="1"/>
  <c r="P167" i="2" s="1"/>
  <c r="P168" i="2" a="1"/>
  <c r="P168" i="2" s="1"/>
  <c r="P169" i="2" a="1"/>
  <c r="P169" i="2" s="1"/>
  <c r="P170" i="2" a="1"/>
  <c r="P170" i="2"/>
  <c r="P171" i="2" a="1"/>
  <c r="P171" i="2" s="1"/>
  <c r="P172" i="2" a="1"/>
  <c r="P172" i="2" s="1"/>
  <c r="P173" i="2" a="1"/>
  <c r="P173" i="2" s="1"/>
  <c r="P174" i="2" a="1"/>
  <c r="P174" i="2" s="1"/>
  <c r="P175" i="2" a="1"/>
  <c r="P175" i="2" s="1"/>
  <c r="P176" i="2" a="1"/>
  <c r="P176" i="2" s="1"/>
  <c r="P177" i="2" a="1"/>
  <c r="P177" i="2" s="1"/>
  <c r="P178" i="2" a="1"/>
  <c r="P178" i="2" s="1"/>
  <c r="P179" i="2" a="1"/>
  <c r="P179" i="2" s="1"/>
  <c r="P180" i="2" a="1"/>
  <c r="P180" i="2" s="1"/>
  <c r="P181" i="2" a="1"/>
  <c r="P181" i="2" s="1"/>
  <c r="P182" i="2" a="1"/>
  <c r="P182" i="2" s="1"/>
  <c r="P183" i="2" a="1"/>
  <c r="P183" i="2" s="1"/>
  <c r="P184" i="2" a="1"/>
  <c r="P184" i="2" s="1"/>
  <c r="P185" i="2" a="1"/>
  <c r="P185" i="2" s="1"/>
  <c r="P186" i="2" a="1"/>
  <c r="P186" i="2" s="1"/>
  <c r="P187" i="2" a="1"/>
  <c r="P187" i="2" s="1"/>
  <c r="P188" i="2" a="1"/>
  <c r="P188" i="2" s="1"/>
  <c r="P189" i="2" a="1"/>
  <c r="P189" i="2" s="1"/>
  <c r="P190" i="2" a="1"/>
  <c r="P190" i="2" s="1"/>
  <c r="P191" i="2" a="1"/>
  <c r="P191" i="2" s="1"/>
  <c r="P192" i="2" a="1"/>
  <c r="P192" i="2" s="1"/>
  <c r="P193" i="2" a="1"/>
  <c r="P193" i="2" s="1"/>
  <c r="P194" i="2" a="1"/>
  <c r="P194" i="2" s="1"/>
  <c r="P195" i="2" a="1"/>
  <c r="P195" i="2" s="1"/>
  <c r="P196" i="2" a="1"/>
  <c r="P196" i="2" s="1"/>
  <c r="P197" i="2" a="1"/>
  <c r="P197" i="2" s="1"/>
  <c r="P198" i="2" a="1"/>
  <c r="P198" i="2" s="1"/>
  <c r="P199" i="2" a="1"/>
  <c r="P199" i="2" s="1"/>
  <c r="P200" i="2" a="1"/>
  <c r="P200" i="2" s="1"/>
  <c r="P201" i="2" a="1"/>
  <c r="P201" i="2" s="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B16" i="3"/>
  <c r="A16" i="3"/>
  <c r="A12" i="3"/>
  <c r="C10" i="3"/>
  <c r="C6" i="3"/>
  <c r="A6" i="3"/>
  <c r="I7" i="3" l="1"/>
  <c r="I5" i="3"/>
  <c r="I2" i="3"/>
  <c r="I4" i="3" s="1"/>
  <c r="I6" i="3"/>
  <c r="I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<sst xmlns="http://schemas.openxmlformats.org/spreadsheetml/2006/main" count="2120" uniqueCount="70">
  <si>
    <t>order_id</t>
  </si>
  <si>
    <t>distance_km</t>
  </si>
  <si>
    <t>delivery_time_min</t>
  </si>
  <si>
    <t>traffic_level</t>
  </si>
  <si>
    <t>route_length_km</t>
  </si>
  <si>
    <t>delivery_mode</t>
  </si>
  <si>
    <t>weather</t>
  </si>
  <si>
    <t>order_time</t>
  </si>
  <si>
    <t>restaurant_zone</t>
  </si>
  <si>
    <t>customer_zone</t>
  </si>
  <si>
    <t>High</t>
  </si>
  <si>
    <t>Bicycle</t>
  </si>
  <si>
    <t>Clear</t>
  </si>
  <si>
    <t>South</t>
  </si>
  <si>
    <t>North</t>
  </si>
  <si>
    <t>Car</t>
  </si>
  <si>
    <t>Cloudy</t>
  </si>
  <si>
    <t>West</t>
  </si>
  <si>
    <t>Medium</t>
  </si>
  <si>
    <t>Bike</t>
  </si>
  <si>
    <t>Rainy</t>
  </si>
  <si>
    <t>Central</t>
  </si>
  <si>
    <t>Low</t>
  </si>
  <si>
    <t>Scooter</t>
  </si>
  <si>
    <t>Windy</t>
  </si>
  <si>
    <t>East</t>
  </si>
  <si>
    <t>Order_ID</t>
  </si>
  <si>
    <t>Column1</t>
  </si>
  <si>
    <t>Column2</t>
  </si>
  <si>
    <t>Column8</t>
  </si>
  <si>
    <t>h_date</t>
  </si>
  <si>
    <t>h_hour</t>
  </si>
  <si>
    <t>Time_Target</t>
  </si>
  <si>
    <t>On_time</t>
  </si>
  <si>
    <t>h_include</t>
  </si>
  <si>
    <t>h_visible</t>
  </si>
  <si>
    <t>Count of order_id</t>
  </si>
  <si>
    <t>TOTAL</t>
  </si>
  <si>
    <t>AVG DT</t>
  </si>
  <si>
    <t>% ON TIME</t>
  </si>
  <si>
    <t>AVG SPEED</t>
  </si>
  <si>
    <t>ROUTE DETOUR</t>
  </si>
  <si>
    <t>DATA QUALITY SCORE</t>
  </si>
  <si>
    <t>Average of delivery_time_min</t>
  </si>
  <si>
    <t>Average of On_time</t>
  </si>
  <si>
    <t>Average of Avg. Speed</t>
  </si>
  <si>
    <t>Sum of Route Detour %</t>
  </si>
  <si>
    <t>Distance Band</t>
  </si>
  <si>
    <t>Row Labels</t>
  </si>
  <si>
    <t>DELIVERY TREND</t>
  </si>
  <si>
    <t>TRAFFIC TREND</t>
  </si>
  <si>
    <t>MODE TREND</t>
  </si>
  <si>
    <t>&lt; 2 km</t>
  </si>
  <si>
    <t>10 km and above</t>
  </si>
  <si>
    <t>2 to 5 km</t>
  </si>
  <si>
    <t>5 to 10 km</t>
  </si>
  <si>
    <t>DISTANCE BAND</t>
  </si>
  <si>
    <t>Restaurant_Zone</t>
  </si>
  <si>
    <t>Customer_Zone</t>
  </si>
  <si>
    <t>Avg. Time (min)</t>
  </si>
  <si>
    <t>Route Band</t>
  </si>
  <si>
    <t>WEATHER</t>
  </si>
  <si>
    <t>MODE COUNT</t>
  </si>
  <si>
    <t>ROUTE BAND</t>
  </si>
  <si>
    <t>&lt;2 km</t>
  </si>
  <si>
    <t>REST COUNT</t>
  </si>
  <si>
    <t>CUST COUNT</t>
  </si>
  <si>
    <t>Average of distance_km</t>
  </si>
  <si>
    <t>HOUR</t>
  </si>
  <si>
    <t xml:space="preserve">Avg.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</si>
</sst>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F400]h:mm:ss\ AM/PM"/>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5"/>
      <color rgb="FF7C2D12"/>
      <name val="Consolas"/>
      <family val="3"/>
    </font>
    <font>
      <sz val="8"/>
      <name val="Calibri"/>
      <family val="2"/>
      <scheme val="minor"/>
    </font>
    <font>
      <sz val="11"/>
      <color theme="3" tint="9.9978637043366805E-2"/>
      <name val="Calibri"/>
      <family val="2"/>
      <scheme val="minor"/>
    </font>
    <font>
      <sz val="8.5"/>
      <color theme="3" tint="9.9978637043366805E-2"/>
      <name val="Consolas"/>
      <family val="3"/>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3" tint="9.9978637043366805E-2"/>
        <bgColor indexed="64"/>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22" fontId="0" fillId="0" borderId="0" xfId="0" applyNumberFormat="1"/>
    <xf numFmtId="2" fontId="0" fillId="0" borderId="0" xfId="0" applyNumberFormat="1"/>
    <xf numFmtId="49" fontId="0" fillId="0" borderId="0" xfId="0" applyNumberFormat="1"/>
    <xf numFmtId="0" fontId="13" fillId="33" borderId="0" xfId="0" applyFont="1" applyFill="1"/>
    <xf numFmtId="164" fontId="0" fillId="0" borderId="0" xfId="0" applyNumberFormat="1"/>
    <xf numFmtId="1" fontId="0" fillId="0" borderId="0" xfId="0" applyNumberFormat="1"/>
    <xf numFmtId="165" fontId="0" fillId="0" borderId="0" xfId="0" applyNumberFormat="1"/>
    <xf numFmtId="0" fontId="0" fillId="0" borderId="0" xfId="0" applyNumberFormat="1"/>
    <xf numFmtId="0" fontId="18" fillId="0" borderId="0" xfId="0" applyNumberFormat="1" applyFont="1" applyAlignment="1">
      <alignment horizontal="left" vertical="center" indent="1"/>
    </xf>
    <xf numFmtId="14" fontId="0" fillId="0" borderId="0" xfId="0" applyNumberFormat="1"/>
    <xf numFmtId="14" fontId="18" fillId="0" borderId="0" xfId="0" applyNumberFormat="1" applyFont="1" applyAlignment="1">
      <alignment horizontal="left" vertical="center" indent="1"/>
    </xf>
    <xf numFmtId="0" fontId="0" fillId="0" borderId="0" xfId="0" pivotButton="1"/>
    <xf numFmtId="9" fontId="0" fillId="0" borderId="0" xfId="1" applyFont="1"/>
    <xf numFmtId="9" fontId="0" fillId="0" borderId="0" xfId="0" applyNumberFormat="1"/>
    <xf numFmtId="0" fontId="0" fillId="0" borderId="0" xfId="0" applyAlignment="1">
      <alignment horizontal="left"/>
    </xf>
    <xf numFmtId="164" fontId="20" fillId="0" borderId="0" xfId="0" applyNumberFormat="1" applyFont="1"/>
    <xf numFmtId="9" fontId="20" fillId="0" borderId="0" xfId="0" applyNumberFormat="1" applyFont="1"/>
    <xf numFmtId="0" fontId="20" fillId="0" borderId="0" xfId="0" applyNumberFormat="1" applyFont="1"/>
    <xf numFmtId="0" fontId="20" fillId="0" borderId="0" xfId="0" applyFont="1"/>
    <xf numFmtId="0" fontId="21" fillId="0" borderId="0" xfId="0" applyFont="1" applyAlignment="1">
      <alignment horizontal="left" vertical="center" indent="1"/>
    </xf>
    <xf numFmtId="9" fontId="20" fillId="0" borderId="0" xfId="1" applyFont="1"/>
    <xf numFmtId="22" fontId="20" fillId="0" borderId="0" xfId="0" applyNumberFormat="1" applyFont="1"/>
    <xf numFmtId="0" fontId="0" fillId="35" borderId="0" xfId="0" applyFill="1"/>
    <xf numFmtId="0" fontId="0" fillId="0" borderId="0" xfId="0" applyFill="1"/>
    <xf numFmtId="0" fontId="0" fillId="0" borderId="0" xfId="0" applyFill="1" applyAlignment="1">
      <alignment horizontal="left"/>
    </xf>
    <xf numFmtId="1" fontId="0" fillId="0" borderId="0" xfId="0" applyNumberFormat="1" applyFill="1"/>
    <xf numFmtId="14" fontId="0" fillId="0" borderId="0" xfId="0" applyNumberFormat="1" applyFill="1" applyAlignment="1">
      <alignment horizontal="left"/>
    </xf>
    <xf numFmtId="164" fontId="0" fillId="0" borderId="0" xfId="0" applyNumberFormat="1" applyFill="1"/>
    <xf numFmtId="0" fontId="13" fillId="0" borderId="0" xfId="0" applyFont="1" applyFill="1"/>
    <xf numFmtId="0" fontId="13" fillId="34" borderId="0" xfId="0" applyFont="1" applyFill="1" applyAlignment="1">
      <alignment horizontal="left"/>
    </xf>
    <xf numFmtId="1" fontId="13" fillId="35" borderId="0" xfId="0" applyNumberFormat="1" applyFont="1" applyFill="1"/>
    <xf numFmtId="0" fontId="14" fillId="35" borderId="0" xfId="0"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5">
    <dxf>
      <numFmt numFmtId="1" formatCode="0"/>
    </dxf>
    <dxf>
      <numFmt numFmtId="164" formatCode="0.0"/>
    </dxf>
    <dxf>
      <numFmt numFmtId="1" formatCode="0"/>
    </dxf>
    <dxf>
      <numFmt numFmtId="1" formatCode="0"/>
    </dxf>
    <dxf>
      <numFmt numFmtId="164"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0.0"/>
    </dxf>
    <dxf>
      <numFmt numFmtId="1" formatCode="0"/>
    </dxf>
    <dxf>
      <font>
        <b/>
      </font>
    </dxf>
    <dxf>
      <font>
        <b/>
      </font>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3" tint="9.9978637043366805E-2"/>
        </patternFill>
      </fill>
    </dxf>
    <dxf>
      <fill>
        <patternFill>
          <bgColor theme="7" tint="0.39997558519241921"/>
        </patternFill>
      </fill>
    </dxf>
    <dxf>
      <fill>
        <patternFill patternType="solid">
          <bgColor theme="7" tint="0.399975585192419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0.0"/>
    </dxf>
    <dxf>
      <font>
        <color theme="3" tint="9.9978637043366805E-2"/>
      </font>
    </dxf>
    <dxf>
      <font>
        <color theme="3" tint="9.9978637043366805E-2"/>
      </font>
    </dxf>
    <dxf>
      <numFmt numFmtId="164" formatCode="0.0"/>
    </dxf>
    <dxf>
      <numFmt numFmtId="13" formatCode="0%"/>
    </dxf>
    <dxf>
      <numFmt numFmtId="13" formatCode="0%"/>
    </dxf>
    <dxf>
      <numFmt numFmtId="13" formatCode="0%"/>
    </dxf>
    <dxf>
      <font>
        <color theme="3" tint="9.9978637043366805E-2"/>
      </font>
    </dxf>
    <dxf>
      <numFmt numFmtId="164" formatCode="0.0"/>
    </dxf>
    <dxf>
      <numFmt numFmtId="13" formatCode="0%"/>
    </dxf>
    <dxf>
      <numFmt numFmtId="13" formatCode="0%"/>
    </dxf>
    <dxf>
      <numFmt numFmtId="13" formatCode="0%"/>
    </dxf>
    <dxf>
      <font>
        <color theme="3" tint="9.9978637043366805E-2"/>
      </font>
    </dxf>
    <dxf>
      <numFmt numFmtId="164" formatCode="0.0"/>
    </dxf>
    <dxf>
      <font>
        <color theme="3" tint="9.9978637043366805E-2"/>
      </font>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27" formatCode="dd/mm/yyyy\ hh:mm"/>
    </dxf>
    <dxf>
      <numFmt numFmtId="2" formatCode="0.00"/>
    </dxf>
    <dxf>
      <numFmt numFmtId="30" formatCode="@"/>
    </dxf>
    <dxf>
      <numFmt numFmtId="0" formatCode="General"/>
    </dxf>
    <dxf>
      <numFmt numFmtId="2" formatCode="0.00"/>
    </dxf>
    <dxf>
      <numFmt numFmtId="1" formatCode="0"/>
    </dxf>
    <dxf>
      <font>
        <b/>
        <i val="0"/>
        <sz val="10"/>
        <color theme="4" tint="-0.499984740745262"/>
      </font>
      <border diagonalUp="0" diagonalDown="0">
        <left/>
        <right/>
        <top/>
        <bottom/>
        <vertical/>
        <horizontal/>
      </border>
    </dxf>
    <dxf>
      <fill>
        <patternFill>
          <bgColor theme="7" tint="0.39994506668294322"/>
        </patternFill>
      </fill>
      <border diagonalUp="0" diagonalDown="0">
        <left/>
        <right/>
        <top/>
        <bottom/>
        <vertical/>
        <horizontal/>
      </border>
    </dxf>
  </dxfs>
  <tableStyles count="1" defaultTableStyle="TableStyleMedium2" defaultPivotStyle="PivotStyleLight16">
    <tableStyle name="Slicer Style 1" pivot="0" table="0" count="6" xr9:uid="{E0B977AB-2ACE-4B29-AAD9-F52C016699AF}">
      <tableStyleElement type="wholeTable" dxfId="94"/>
      <tableStyleElement type="headerRow" dxfId="93"/>
    </tableStyle>
  </tableStyles>
  <colors>
    <mruColors>
      <color rgb="FFE2B970"/>
      <color rgb="FF6D4C41"/>
      <color rgb="FFFFFBF5"/>
    </mruColors>
  </colors>
  <extLst>
    <ext xmlns:x14="http://schemas.microsoft.com/office/spreadsheetml/2009/9/main" uri="{46F421CA-312F-682f-3DD2-61675219B42D}">
      <x14:dxfs count="4">
        <dxf>
          <fill>
            <patternFill>
              <bgColor theme="4" tint="-0.499984740745262"/>
            </patternFill>
          </fill>
          <border diagonalUp="0" diagonalDown="0">
            <left/>
            <right/>
            <top/>
            <bottom/>
            <vertical/>
            <horizontal/>
          </border>
        </dxf>
        <dxf>
          <fill>
            <patternFill>
              <bgColor theme="7" tint="0.39994506668294322"/>
            </patternFill>
          </fill>
          <border diagonalUp="0" diagonalDown="0">
            <left/>
            <right/>
            <top/>
            <bottom/>
            <vertical/>
            <horizontal/>
          </border>
        </dxf>
        <dxf>
          <font>
            <b/>
            <i val="0"/>
            <sz val="10"/>
          </font>
          <fill>
            <patternFill>
              <bgColor theme="4"/>
            </patternFill>
          </fill>
          <border diagonalUp="0" diagonalDown="0">
            <left/>
            <right/>
            <top/>
            <bottom/>
            <vertical/>
            <horizontal/>
          </border>
        </dxf>
        <dxf>
          <fill>
            <patternFill>
              <bgColor theme="7" tint="0.5999633777886288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Food_Delivery_Route_Efficiency_Dataset.xlsx]OVERVIEW!PivotTable7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alpha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OVERVIEW!$B$2</c:f>
              <c:strCache>
                <c:ptCount val="1"/>
                <c:pt idx="0">
                  <c:v>Total</c:v>
                </c:pt>
              </c:strCache>
            </c:strRef>
          </c:tx>
          <c:spPr>
            <a:solidFill>
              <a:schemeClr val="accent2">
                <a:lumMod val="50000"/>
                <a:alpha val="90000"/>
              </a:schemeClr>
            </a:solidFill>
            <a:ln>
              <a:noFill/>
            </a:ln>
            <a:effectLst/>
          </c:spPr>
          <c:cat>
            <c:strRef>
              <c:f>OVERVIEW!$A$3:$A$6</c:f>
              <c:strCache>
                <c:ptCount val="4"/>
                <c:pt idx="0">
                  <c:v>01/01/2025</c:v>
                </c:pt>
                <c:pt idx="1">
                  <c:v>02/01/2025</c:v>
                </c:pt>
                <c:pt idx="2">
                  <c:v>03/01/2025</c:v>
                </c:pt>
                <c:pt idx="3">
                  <c:v>04/01/2025</c:v>
                </c:pt>
              </c:strCache>
            </c:strRef>
          </c:cat>
          <c:val>
            <c:numRef>
              <c:f>OVERVIEW!$B$3:$B$6</c:f>
              <c:numCache>
                <c:formatCode>0.0</c:formatCode>
                <c:ptCount val="4"/>
                <c:pt idx="0">
                  <c:v>44.500000000000007</c:v>
                </c:pt>
                <c:pt idx="1">
                  <c:v>43.641666666666666</c:v>
                </c:pt>
                <c:pt idx="2">
                  <c:v>46.120312500000004</c:v>
                </c:pt>
                <c:pt idx="3">
                  <c:v>44.432653061224492</c:v>
                </c:pt>
              </c:numCache>
            </c:numRef>
          </c:val>
          <c:extLst>
            <c:ext xmlns:c16="http://schemas.microsoft.com/office/drawing/2014/chart" uri="{C3380CC4-5D6E-409C-BE32-E72D297353CC}">
              <c16:uniqueId val="{00000000-8706-4D50-AC96-11C550356E65}"/>
            </c:ext>
          </c:extLst>
        </c:ser>
        <c:dLbls>
          <c:showLegendKey val="0"/>
          <c:showVal val="0"/>
          <c:showCatName val="0"/>
          <c:showSerName val="0"/>
          <c:showPercent val="0"/>
          <c:showBubbleSize val="0"/>
        </c:dLbls>
        <c:axId val="1271421952"/>
        <c:axId val="1271432352"/>
      </c:areaChart>
      <c:dateAx>
        <c:axId val="1271421952"/>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271432352"/>
        <c:crosses val="autoZero"/>
        <c:auto val="0"/>
        <c:lblOffset val="100"/>
        <c:baseTimeUnit val="days"/>
      </c:dateAx>
      <c:valAx>
        <c:axId val="1271432352"/>
        <c:scaling>
          <c:orientation val="minMax"/>
          <c:max val="47"/>
          <c:min val="4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2714219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Food_Delivery_Route_Efficiency_Dataset.xlsx]OVERVIEW!PivotTable8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OVERVIEW!$A$10:$A$12</c:f>
              <c:strCache>
                <c:ptCount val="3"/>
                <c:pt idx="0">
                  <c:v>Low</c:v>
                </c:pt>
                <c:pt idx="1">
                  <c:v>Medium</c:v>
                </c:pt>
                <c:pt idx="2">
                  <c:v>High</c:v>
                </c:pt>
              </c:strCache>
            </c:strRef>
          </c:cat>
          <c:val>
            <c:numRef>
              <c:f>OVERVIEW!$B$10:$B$12</c:f>
              <c:numCache>
                <c:formatCode>0.0</c:formatCode>
                <c:ptCount val="3"/>
                <c:pt idx="0">
                  <c:v>47.047692307692309</c:v>
                </c:pt>
                <c:pt idx="1">
                  <c:v>41.622388059701493</c:v>
                </c:pt>
                <c:pt idx="2">
                  <c:v>45.619117647058843</c:v>
                </c:pt>
              </c:numCache>
            </c:numRef>
          </c:val>
          <c:extLst>
            <c:ext xmlns:c16="http://schemas.microsoft.com/office/drawing/2014/chart" uri="{C3380CC4-5D6E-409C-BE32-E72D297353CC}">
              <c16:uniqueId val="{00000000-A7B9-40D4-9C6A-8814840FE959}"/>
            </c:ext>
          </c:extLst>
        </c:ser>
        <c:dLbls>
          <c:showLegendKey val="0"/>
          <c:showVal val="0"/>
          <c:showCatName val="0"/>
          <c:showSerName val="0"/>
          <c:showPercent val="0"/>
          <c:showBubbleSize val="0"/>
        </c:dLbls>
        <c:gapWidth val="219"/>
        <c:overlap val="-27"/>
        <c:axId val="1271435680"/>
        <c:axId val="1271416960"/>
      </c:barChart>
      <c:catAx>
        <c:axId val="12714356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271416960"/>
        <c:crosses val="autoZero"/>
        <c:auto val="1"/>
        <c:lblAlgn val="ctr"/>
        <c:lblOffset val="100"/>
        <c:noMultiLvlLbl val="0"/>
      </c:catAx>
      <c:valAx>
        <c:axId val="1271416960"/>
        <c:scaling>
          <c:orientation val="minMax"/>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27143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Food_Delivery_Route_Efficiency_Dataset.xlsx]OVERVIEW!PivotTable9</c:name>
    <c:fmtId val="2"/>
  </c:pivotSource>
  <c:chart>
    <c:autoTitleDeleted val="1"/>
    <c:pivotFmts>
      <c:pivotFmt>
        <c:idx val="0"/>
        <c:spPr>
          <a:solidFill>
            <a:schemeClr val="tx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OVERVIEW!$B$16</c:f>
              <c:strCache>
                <c:ptCount val="1"/>
                <c:pt idx="0">
                  <c:v>Total</c:v>
                </c:pt>
              </c:strCache>
            </c:strRef>
          </c:tx>
          <c:spPr>
            <a:solidFill>
              <a:schemeClr val="tx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OVERVIEW!$A$17:$A$20</c:f>
              <c:strCache>
                <c:ptCount val="4"/>
                <c:pt idx="0">
                  <c:v>Car</c:v>
                </c:pt>
                <c:pt idx="1">
                  <c:v>Bike</c:v>
                </c:pt>
                <c:pt idx="2">
                  <c:v>Scooter</c:v>
                </c:pt>
                <c:pt idx="3">
                  <c:v>Bicycle</c:v>
                </c:pt>
              </c:strCache>
            </c:strRef>
          </c:cat>
          <c:val>
            <c:numRef>
              <c:f>OVERVIEW!$B$17:$B$20</c:f>
              <c:numCache>
                <c:formatCode>0.0</c:formatCode>
                <c:ptCount val="4"/>
                <c:pt idx="0">
                  <c:v>41.47659574468085</c:v>
                </c:pt>
                <c:pt idx="1">
                  <c:v>42.316326530612251</c:v>
                </c:pt>
                <c:pt idx="2">
                  <c:v>46.094230769230769</c:v>
                </c:pt>
                <c:pt idx="3">
                  <c:v>48.636538461538471</c:v>
                </c:pt>
              </c:numCache>
            </c:numRef>
          </c:val>
          <c:extLst>
            <c:ext xmlns:c16="http://schemas.microsoft.com/office/drawing/2014/chart" uri="{C3380CC4-5D6E-409C-BE32-E72D297353CC}">
              <c16:uniqueId val="{00000000-D913-4C8F-A34A-6F691B144AC8}"/>
            </c:ext>
          </c:extLst>
        </c:ser>
        <c:dLbls>
          <c:dLblPos val="outEnd"/>
          <c:showLegendKey val="0"/>
          <c:showVal val="1"/>
          <c:showCatName val="0"/>
          <c:showSerName val="0"/>
          <c:showPercent val="0"/>
          <c:showBubbleSize val="0"/>
        </c:dLbls>
        <c:gapWidth val="128"/>
        <c:axId val="887003392"/>
        <c:axId val="887003808"/>
      </c:barChart>
      <c:catAx>
        <c:axId val="8870033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887003808"/>
        <c:crosses val="autoZero"/>
        <c:auto val="1"/>
        <c:lblAlgn val="ctr"/>
        <c:lblOffset val="100"/>
        <c:noMultiLvlLbl val="0"/>
      </c:catAx>
      <c:valAx>
        <c:axId val="887003808"/>
        <c:scaling>
          <c:orientation val="minMax"/>
          <c:min val="0"/>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88700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Food_Delivery_Route_Efficiency_Dataset.xlsx]OVERVIEW!PivotTable10</c:name>
    <c:fmtId val="2"/>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OVERVIEW!$B$24</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OVERVIEW!$A$25:$A$28</c:f>
              <c:strCache>
                <c:ptCount val="4"/>
                <c:pt idx="0">
                  <c:v>10 km and above</c:v>
                </c:pt>
                <c:pt idx="1">
                  <c:v>5 to 10 km</c:v>
                </c:pt>
                <c:pt idx="2">
                  <c:v>2 to 5 km</c:v>
                </c:pt>
                <c:pt idx="3">
                  <c:v>&lt; 2 km</c:v>
                </c:pt>
              </c:strCache>
            </c:strRef>
          </c:cat>
          <c:val>
            <c:numRef>
              <c:f>OVERVIEW!$B$25:$B$28</c:f>
              <c:numCache>
                <c:formatCode>0.0</c:formatCode>
                <c:ptCount val="4"/>
                <c:pt idx="0">
                  <c:v>73.982978723404258</c:v>
                </c:pt>
                <c:pt idx="1">
                  <c:v>52.184810126582271</c:v>
                </c:pt>
                <c:pt idx="2">
                  <c:v>22.164814814814822</c:v>
                </c:pt>
                <c:pt idx="3">
                  <c:v>7.6099999999999994</c:v>
                </c:pt>
              </c:numCache>
            </c:numRef>
          </c:val>
          <c:extLst>
            <c:ext xmlns:c16="http://schemas.microsoft.com/office/drawing/2014/chart" uri="{C3380CC4-5D6E-409C-BE32-E72D297353CC}">
              <c16:uniqueId val="{00000000-D0AA-415B-988B-4FA66E52ED78}"/>
            </c:ext>
          </c:extLst>
        </c:ser>
        <c:dLbls>
          <c:dLblPos val="outEnd"/>
          <c:showLegendKey val="0"/>
          <c:showVal val="1"/>
          <c:showCatName val="0"/>
          <c:showSerName val="0"/>
          <c:showPercent val="0"/>
          <c:showBubbleSize val="0"/>
        </c:dLbls>
        <c:gapWidth val="219"/>
        <c:overlap val="-27"/>
        <c:axId val="1448900224"/>
        <c:axId val="1448898144"/>
      </c:barChart>
      <c:catAx>
        <c:axId val="14489002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448898144"/>
        <c:crosses val="autoZero"/>
        <c:auto val="1"/>
        <c:lblAlgn val="ctr"/>
        <c:lblOffset val="100"/>
        <c:noMultiLvlLbl val="0"/>
      </c:catAx>
      <c:valAx>
        <c:axId val="144889814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44890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Food_Delivery_Route_Efficiency_Dataset.xlsx]OVERVIEW!PivotTable12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pivotFmt>
    </c:pivotFmts>
    <c:plotArea>
      <c:layout/>
      <c:barChart>
        <c:barDir val="col"/>
        <c:grouping val="clustered"/>
        <c:varyColors val="0"/>
        <c:ser>
          <c:idx val="0"/>
          <c:order val="0"/>
          <c:tx>
            <c:strRef>
              <c:f>OVERVIEW!$I$34</c:f>
              <c:strCache>
                <c:ptCount val="1"/>
                <c:pt idx="0">
                  <c:v>Total</c:v>
                </c:pt>
              </c:strCache>
            </c:strRef>
          </c:tx>
          <c:spPr>
            <a:solidFill>
              <a:schemeClr val="accent1"/>
            </a:solidFill>
            <a:ln>
              <a:noFill/>
            </a:ln>
            <a:effectLst/>
          </c:spPr>
          <c:invertIfNegative val="0"/>
          <c:dPt>
            <c:idx val="8"/>
            <c:invertIfNegative val="0"/>
            <c:bubble3D val="0"/>
            <c:spPr>
              <a:solidFill>
                <a:schemeClr val="accent4"/>
              </a:solidFill>
              <a:ln>
                <a:noFill/>
              </a:ln>
              <a:effectLst/>
            </c:spPr>
            <c:extLst>
              <c:ext xmlns:c16="http://schemas.microsoft.com/office/drawing/2014/chart" uri="{C3380CC4-5D6E-409C-BE32-E72D297353CC}">
                <c16:uniqueId val="{00000001-43B2-49E4-B6E1-FDEA076891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OVERVIEW!$H$35:$H$58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OVERVIEW!$I$35:$I$58</c:f>
              <c:numCache>
                <c:formatCode>0</c:formatCode>
                <c:ptCount val="24"/>
                <c:pt idx="0">
                  <c:v>7</c:v>
                </c:pt>
                <c:pt idx="1">
                  <c:v>9</c:v>
                </c:pt>
                <c:pt idx="2">
                  <c:v>12</c:v>
                </c:pt>
                <c:pt idx="3">
                  <c:v>10</c:v>
                </c:pt>
                <c:pt idx="4">
                  <c:v>10</c:v>
                </c:pt>
                <c:pt idx="5">
                  <c:v>8</c:v>
                </c:pt>
                <c:pt idx="6">
                  <c:v>6</c:v>
                </c:pt>
                <c:pt idx="7">
                  <c:v>8</c:v>
                </c:pt>
                <c:pt idx="8">
                  <c:v>15</c:v>
                </c:pt>
                <c:pt idx="9">
                  <c:v>9</c:v>
                </c:pt>
                <c:pt idx="10">
                  <c:v>9</c:v>
                </c:pt>
                <c:pt idx="11">
                  <c:v>12</c:v>
                </c:pt>
                <c:pt idx="12">
                  <c:v>10</c:v>
                </c:pt>
                <c:pt idx="13">
                  <c:v>4</c:v>
                </c:pt>
                <c:pt idx="14">
                  <c:v>7</c:v>
                </c:pt>
                <c:pt idx="15">
                  <c:v>14</c:v>
                </c:pt>
                <c:pt idx="16">
                  <c:v>9</c:v>
                </c:pt>
                <c:pt idx="17">
                  <c:v>13</c:v>
                </c:pt>
                <c:pt idx="18">
                  <c:v>7</c:v>
                </c:pt>
                <c:pt idx="19">
                  <c:v>3</c:v>
                </c:pt>
                <c:pt idx="20">
                  <c:v>5</c:v>
                </c:pt>
                <c:pt idx="21">
                  <c:v>4</c:v>
                </c:pt>
                <c:pt idx="22">
                  <c:v>5</c:v>
                </c:pt>
                <c:pt idx="23">
                  <c:v>4</c:v>
                </c:pt>
              </c:numCache>
            </c:numRef>
          </c:val>
          <c:extLst>
            <c:ext xmlns:c16="http://schemas.microsoft.com/office/drawing/2014/chart" uri="{C3380CC4-5D6E-409C-BE32-E72D297353CC}">
              <c16:uniqueId val="{00000002-43B2-49E4-B6E1-FDEA07689149}"/>
            </c:ext>
          </c:extLst>
        </c:ser>
        <c:dLbls>
          <c:dLblPos val="outEnd"/>
          <c:showLegendKey val="0"/>
          <c:showVal val="1"/>
          <c:showCatName val="0"/>
          <c:showSerName val="0"/>
          <c:showPercent val="0"/>
          <c:showBubbleSize val="0"/>
        </c:dLbls>
        <c:gapWidth val="94"/>
        <c:overlap val="-27"/>
        <c:axId val="1663281792"/>
        <c:axId val="1663263488"/>
      </c:barChart>
      <c:catAx>
        <c:axId val="1663281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63488"/>
        <c:crosses val="autoZero"/>
        <c:auto val="1"/>
        <c:lblAlgn val="ctr"/>
        <c:lblOffset val="100"/>
        <c:noMultiLvlLbl val="0"/>
      </c:catAx>
      <c:valAx>
        <c:axId val="16632634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81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Food_Delivery_Route_Efficiency_Dataset.xlsx]DRIVERS!PivotTable1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pivotFmt>
    </c:pivotFmts>
    <c:plotArea>
      <c:layout/>
      <c:barChart>
        <c:barDir val="col"/>
        <c:grouping val="clustered"/>
        <c:varyColors val="0"/>
        <c:ser>
          <c:idx val="0"/>
          <c:order val="0"/>
          <c:tx>
            <c:strRef>
              <c:f>DRIVERS!$B$4</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3A87-4FFE-B253-858E3B9623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DRIVERS!$A$5:$A$8</c:f>
              <c:strCache>
                <c:ptCount val="4"/>
                <c:pt idx="0">
                  <c:v>Clear</c:v>
                </c:pt>
                <c:pt idx="1">
                  <c:v>Rainy</c:v>
                </c:pt>
                <c:pt idx="2">
                  <c:v>Windy</c:v>
                </c:pt>
                <c:pt idx="3">
                  <c:v>Cloudy</c:v>
                </c:pt>
              </c:strCache>
            </c:strRef>
          </c:cat>
          <c:val>
            <c:numRef>
              <c:f>DRIVERS!$B$5:$B$8</c:f>
              <c:numCache>
                <c:formatCode>0.0</c:formatCode>
                <c:ptCount val="4"/>
                <c:pt idx="0">
                  <c:v>42.267500000000005</c:v>
                </c:pt>
                <c:pt idx="1">
                  <c:v>42.776363636363641</c:v>
                </c:pt>
                <c:pt idx="2">
                  <c:v>43.172000000000004</c:v>
                </c:pt>
                <c:pt idx="3">
                  <c:v>49.943636363636365</c:v>
                </c:pt>
              </c:numCache>
            </c:numRef>
          </c:val>
          <c:extLst>
            <c:ext xmlns:c16="http://schemas.microsoft.com/office/drawing/2014/chart" uri="{C3380CC4-5D6E-409C-BE32-E72D297353CC}">
              <c16:uniqueId val="{00000002-3A87-4FFE-B253-858E3B9623DB}"/>
            </c:ext>
          </c:extLst>
        </c:ser>
        <c:dLbls>
          <c:showLegendKey val="0"/>
          <c:showVal val="0"/>
          <c:showCatName val="0"/>
          <c:showSerName val="0"/>
          <c:showPercent val="0"/>
          <c:showBubbleSize val="0"/>
        </c:dLbls>
        <c:gapWidth val="219"/>
        <c:overlap val="-27"/>
        <c:axId val="1660080720"/>
        <c:axId val="1660080304"/>
      </c:barChart>
      <c:catAx>
        <c:axId val="1660080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0080304"/>
        <c:crosses val="autoZero"/>
        <c:auto val="1"/>
        <c:lblAlgn val="ctr"/>
        <c:lblOffset val="100"/>
        <c:noMultiLvlLbl val="0"/>
      </c:catAx>
      <c:valAx>
        <c:axId val="1660080304"/>
        <c:scaling>
          <c:orientation val="minMax"/>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0080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Food_Delivery_Route_Efficiency_Dataset.xlsx]DRIVERS!PivotTable2</c:name>
    <c:fmtId val="2"/>
  </c:pivotSource>
  <c:chart>
    <c:autoTitleDeleted val="1"/>
    <c:pivotFmts>
      <c:pivotFmt>
        <c:idx val="0"/>
        <c:spPr>
          <a:solidFill>
            <a:schemeClr val="tx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DRIVERS!$B$13</c:f>
              <c:strCache>
                <c:ptCount val="1"/>
                <c:pt idx="0">
                  <c:v>Total</c:v>
                </c:pt>
              </c:strCache>
            </c:strRef>
          </c:tx>
          <c:spPr>
            <a:solidFill>
              <a:schemeClr val="tx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DRIVERS!$A$14:$A$17</c:f>
              <c:strCache>
                <c:ptCount val="4"/>
                <c:pt idx="0">
                  <c:v>Car</c:v>
                </c:pt>
                <c:pt idx="1">
                  <c:v>Bike</c:v>
                </c:pt>
                <c:pt idx="2">
                  <c:v>Bicycle</c:v>
                </c:pt>
                <c:pt idx="3">
                  <c:v>Scooter</c:v>
                </c:pt>
              </c:strCache>
            </c:strRef>
          </c:cat>
          <c:val>
            <c:numRef>
              <c:f>DRIVERS!$B$14:$B$17</c:f>
              <c:numCache>
                <c:formatCode>0</c:formatCode>
                <c:ptCount val="4"/>
                <c:pt idx="0">
                  <c:v>47</c:v>
                </c:pt>
                <c:pt idx="1">
                  <c:v>49</c:v>
                </c:pt>
                <c:pt idx="2">
                  <c:v>52</c:v>
                </c:pt>
                <c:pt idx="3">
                  <c:v>52</c:v>
                </c:pt>
              </c:numCache>
            </c:numRef>
          </c:val>
          <c:extLst>
            <c:ext xmlns:c16="http://schemas.microsoft.com/office/drawing/2014/chart" uri="{C3380CC4-5D6E-409C-BE32-E72D297353CC}">
              <c16:uniqueId val="{00000000-4E5D-4AF6-BCE3-7449545C5F39}"/>
            </c:ext>
          </c:extLst>
        </c:ser>
        <c:dLbls>
          <c:dLblPos val="outEnd"/>
          <c:showLegendKey val="0"/>
          <c:showVal val="1"/>
          <c:showCatName val="0"/>
          <c:showSerName val="0"/>
          <c:showPercent val="0"/>
          <c:showBubbleSize val="0"/>
        </c:dLbls>
        <c:gapWidth val="182"/>
        <c:axId val="1663282624"/>
        <c:axId val="1663285120"/>
      </c:barChart>
      <c:catAx>
        <c:axId val="16632826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85120"/>
        <c:crosses val="autoZero"/>
        <c:auto val="1"/>
        <c:lblAlgn val="ctr"/>
        <c:lblOffset val="100"/>
        <c:noMultiLvlLbl val="0"/>
      </c:catAx>
      <c:valAx>
        <c:axId val="1663285120"/>
        <c:scaling>
          <c:orientation val="minMax"/>
          <c:min val="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8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Food_Delivery_Route_Efficiency_Dataset.xlsx]DRIVERS!PivotTable3</c:name>
    <c:fmtId val="2"/>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DRIVERS!$B$22</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DRIVERS!$A$23:$A$26</c:f>
              <c:strCache>
                <c:ptCount val="4"/>
                <c:pt idx="0">
                  <c:v>10 km and above</c:v>
                </c:pt>
                <c:pt idx="1">
                  <c:v>5 to 10 km</c:v>
                </c:pt>
                <c:pt idx="2">
                  <c:v>2 to 5 km</c:v>
                </c:pt>
                <c:pt idx="3">
                  <c:v>&lt;2 km</c:v>
                </c:pt>
              </c:strCache>
            </c:strRef>
          </c:cat>
          <c:val>
            <c:numRef>
              <c:f>DRIVERS!$B$23:$B$26</c:f>
              <c:numCache>
                <c:formatCode>0.0</c:formatCode>
                <c:ptCount val="4"/>
                <c:pt idx="0">
                  <c:v>69.610256410256397</c:v>
                </c:pt>
                <c:pt idx="1">
                  <c:v>41.457377049180337</c:v>
                </c:pt>
                <c:pt idx="2">
                  <c:v>19.976744186046517</c:v>
                </c:pt>
                <c:pt idx="3">
                  <c:v>7.3000000000000007</c:v>
                </c:pt>
              </c:numCache>
            </c:numRef>
          </c:val>
          <c:extLst>
            <c:ext xmlns:c16="http://schemas.microsoft.com/office/drawing/2014/chart" uri="{C3380CC4-5D6E-409C-BE32-E72D297353CC}">
              <c16:uniqueId val="{00000000-F2CA-4D72-B16C-CB1AD89209B0}"/>
            </c:ext>
          </c:extLst>
        </c:ser>
        <c:dLbls>
          <c:dLblPos val="outEnd"/>
          <c:showLegendKey val="0"/>
          <c:showVal val="1"/>
          <c:showCatName val="0"/>
          <c:showSerName val="0"/>
          <c:showPercent val="0"/>
          <c:showBubbleSize val="0"/>
        </c:dLbls>
        <c:gapWidth val="219"/>
        <c:overlap val="-27"/>
        <c:axId val="1663265568"/>
        <c:axId val="1663273472"/>
      </c:barChart>
      <c:catAx>
        <c:axId val="16632655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73472"/>
        <c:crosses val="autoZero"/>
        <c:auto val="1"/>
        <c:lblAlgn val="ctr"/>
        <c:lblOffset val="100"/>
        <c:noMultiLvlLbl val="0"/>
      </c:catAx>
      <c:valAx>
        <c:axId val="166327347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6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Food_Delivery_Route_Efficiency_Dataset.xlsx]DRIVERS!PivotTable4</c:name>
    <c:fmtId val="2"/>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DRIVERS!$B$31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DRIVERS!$A$32:$A$36</c:f>
              <c:strCache>
                <c:ptCount val="5"/>
                <c:pt idx="0">
                  <c:v>East</c:v>
                </c:pt>
                <c:pt idx="1">
                  <c:v>North</c:v>
                </c:pt>
                <c:pt idx="2">
                  <c:v>West</c:v>
                </c:pt>
                <c:pt idx="3">
                  <c:v>Central</c:v>
                </c:pt>
                <c:pt idx="4">
                  <c:v>South</c:v>
                </c:pt>
              </c:strCache>
            </c:strRef>
          </c:cat>
          <c:val>
            <c:numRef>
              <c:f>DRIVERS!$B$32:$B$36</c:f>
              <c:numCache>
                <c:formatCode>0</c:formatCode>
                <c:ptCount val="5"/>
                <c:pt idx="0">
                  <c:v>28</c:v>
                </c:pt>
                <c:pt idx="1">
                  <c:v>30</c:v>
                </c:pt>
                <c:pt idx="2">
                  <c:v>41</c:v>
                </c:pt>
                <c:pt idx="3">
                  <c:v>47</c:v>
                </c:pt>
                <c:pt idx="4">
                  <c:v>54</c:v>
                </c:pt>
              </c:numCache>
            </c:numRef>
          </c:val>
          <c:extLst>
            <c:ext xmlns:c16="http://schemas.microsoft.com/office/drawing/2014/chart" uri="{C3380CC4-5D6E-409C-BE32-E72D297353CC}">
              <c16:uniqueId val="{00000000-966E-40CC-96DB-92318364965E}"/>
            </c:ext>
          </c:extLst>
        </c:ser>
        <c:dLbls>
          <c:dLblPos val="outEnd"/>
          <c:showLegendKey val="0"/>
          <c:showVal val="1"/>
          <c:showCatName val="0"/>
          <c:showSerName val="0"/>
          <c:showPercent val="0"/>
          <c:showBubbleSize val="0"/>
        </c:dLbls>
        <c:gapWidth val="182"/>
        <c:axId val="1663268480"/>
        <c:axId val="1663256416"/>
      </c:barChart>
      <c:catAx>
        <c:axId val="166326848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56416"/>
        <c:crosses val="autoZero"/>
        <c:auto val="1"/>
        <c:lblAlgn val="ctr"/>
        <c:lblOffset val="100"/>
        <c:noMultiLvlLbl val="0"/>
      </c:catAx>
      <c:valAx>
        <c:axId val="16632564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6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Food_Delivery_Route_Efficiency_Dataset.xlsx]DRIVERS!PivotTable5</c:name>
    <c:fmtId val="2"/>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DRIVERS!$B$41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DRIVERS!$A$42:$A$46</c:f>
              <c:strCache>
                <c:ptCount val="5"/>
                <c:pt idx="0">
                  <c:v>West</c:v>
                </c:pt>
                <c:pt idx="1">
                  <c:v>South</c:v>
                </c:pt>
                <c:pt idx="2">
                  <c:v>Central</c:v>
                </c:pt>
                <c:pt idx="3">
                  <c:v>East</c:v>
                </c:pt>
                <c:pt idx="4">
                  <c:v>North</c:v>
                </c:pt>
              </c:strCache>
            </c:strRef>
          </c:cat>
          <c:val>
            <c:numRef>
              <c:f>DRIVERS!$B$42:$B$46</c:f>
              <c:numCache>
                <c:formatCode>0</c:formatCode>
                <c:ptCount val="5"/>
                <c:pt idx="0">
                  <c:v>35</c:v>
                </c:pt>
                <c:pt idx="1">
                  <c:v>36</c:v>
                </c:pt>
                <c:pt idx="2">
                  <c:v>38</c:v>
                </c:pt>
                <c:pt idx="3">
                  <c:v>45</c:v>
                </c:pt>
                <c:pt idx="4">
                  <c:v>46</c:v>
                </c:pt>
              </c:numCache>
            </c:numRef>
          </c:val>
          <c:extLst>
            <c:ext xmlns:c16="http://schemas.microsoft.com/office/drawing/2014/chart" uri="{C3380CC4-5D6E-409C-BE32-E72D297353CC}">
              <c16:uniqueId val="{00000000-6ACC-4D0E-A652-E4E5B3627236}"/>
            </c:ext>
          </c:extLst>
        </c:ser>
        <c:dLbls>
          <c:dLblPos val="outEnd"/>
          <c:showLegendKey val="0"/>
          <c:showVal val="1"/>
          <c:showCatName val="0"/>
          <c:showSerName val="0"/>
          <c:showPercent val="0"/>
          <c:showBubbleSize val="0"/>
        </c:dLbls>
        <c:gapWidth val="182"/>
        <c:axId val="1448849056"/>
        <c:axId val="1448854464"/>
      </c:barChart>
      <c:catAx>
        <c:axId val="14488490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448854464"/>
        <c:crosses val="autoZero"/>
        <c:auto val="1"/>
        <c:lblAlgn val="ctr"/>
        <c:lblOffset val="100"/>
        <c:noMultiLvlLbl val="0"/>
      </c:catAx>
      <c:valAx>
        <c:axId val="144885446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448849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Food_Delivery_Route_Efficiency_Dataset.xlsx]OVERVIEW!PivotTable7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OVERVIEW!$B$2</c:f>
              <c:strCache>
                <c:ptCount val="1"/>
                <c:pt idx="0">
                  <c:v>Total</c:v>
                </c:pt>
              </c:strCache>
            </c:strRef>
          </c:tx>
          <c:spPr>
            <a:ln w="28575" cap="rnd">
              <a:solidFill>
                <a:schemeClr val="accent1"/>
              </a:solidFill>
              <a:round/>
            </a:ln>
            <a:effectLst/>
          </c:spPr>
          <c:marker>
            <c:symbol val="none"/>
          </c:marker>
          <c:cat>
            <c:strRef>
              <c:f>OVERVIEW!$A$3:$A$6</c:f>
              <c:strCache>
                <c:ptCount val="4"/>
                <c:pt idx="0">
                  <c:v>01/01/2025</c:v>
                </c:pt>
                <c:pt idx="1">
                  <c:v>02/01/2025</c:v>
                </c:pt>
                <c:pt idx="2">
                  <c:v>03/01/2025</c:v>
                </c:pt>
                <c:pt idx="3">
                  <c:v>04/01/2025</c:v>
                </c:pt>
              </c:strCache>
            </c:strRef>
          </c:cat>
          <c:val>
            <c:numRef>
              <c:f>OVERVIEW!$B$3:$B$6</c:f>
              <c:numCache>
                <c:formatCode>0.0</c:formatCode>
                <c:ptCount val="4"/>
                <c:pt idx="0">
                  <c:v>44.500000000000007</c:v>
                </c:pt>
                <c:pt idx="1">
                  <c:v>43.641666666666666</c:v>
                </c:pt>
                <c:pt idx="2">
                  <c:v>46.120312500000004</c:v>
                </c:pt>
                <c:pt idx="3">
                  <c:v>44.432653061224492</c:v>
                </c:pt>
              </c:numCache>
            </c:numRef>
          </c:val>
          <c:smooth val="0"/>
          <c:extLst>
            <c:ext xmlns:c16="http://schemas.microsoft.com/office/drawing/2014/chart" uri="{C3380CC4-5D6E-409C-BE32-E72D297353CC}">
              <c16:uniqueId val="{00000000-8825-405F-9075-D5844803ED8E}"/>
            </c:ext>
          </c:extLst>
        </c:ser>
        <c:dLbls>
          <c:showLegendKey val="0"/>
          <c:showVal val="0"/>
          <c:showCatName val="0"/>
          <c:showSerName val="0"/>
          <c:showPercent val="0"/>
          <c:showBubbleSize val="0"/>
        </c:dLbls>
        <c:smooth val="0"/>
        <c:axId val="1271421952"/>
        <c:axId val="1271432352"/>
      </c:lineChart>
      <c:dateAx>
        <c:axId val="1271421952"/>
        <c:scaling>
          <c:orientation val="minMax"/>
        </c:scaling>
        <c:delete val="0"/>
        <c:axPos val="b"/>
        <c:numFmt formatCode="General" sourceLinked="1"/>
        <c:majorTickMark val="none"/>
        <c:minorTickMark val="none"/>
        <c:tickLblPos val="nextTo"/>
        <c:spPr>
          <a:noFill/>
          <a:ln w="9525" cap="flat" cmpd="sng" algn="ctr">
            <a:solidFill>
              <a:schemeClr val="accent1">
                <a:lumMod val="50000"/>
              </a:schemeClr>
            </a:solidFill>
            <a:round/>
          </a:ln>
          <a:effectLst/>
        </c:spPr>
        <c:txPr>
          <a:bodyPr rot="-5400000" spcFirstLastPara="1" vertOverflow="ellipsis"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271432352"/>
        <c:crosses val="autoZero"/>
        <c:auto val="0"/>
        <c:lblOffset val="100"/>
        <c:baseTimeUnit val="days"/>
      </c:dateAx>
      <c:valAx>
        <c:axId val="1271432352"/>
        <c:scaling>
          <c:orientation val="minMax"/>
          <c:max val="47"/>
          <c:min val="4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27142195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Food_Delivery_Route_Efficiency_Dataset.xlsx]OVERVIEW!PivotTable8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OVERVIEW!$A$10:$A$12</c:f>
              <c:strCache>
                <c:ptCount val="3"/>
                <c:pt idx="0">
                  <c:v>Low</c:v>
                </c:pt>
                <c:pt idx="1">
                  <c:v>Medium</c:v>
                </c:pt>
                <c:pt idx="2">
                  <c:v>High</c:v>
                </c:pt>
              </c:strCache>
            </c:strRef>
          </c:cat>
          <c:val>
            <c:numRef>
              <c:f>OVERVIEW!$B$10:$B$12</c:f>
              <c:numCache>
                <c:formatCode>0.0</c:formatCode>
                <c:ptCount val="3"/>
                <c:pt idx="0">
                  <c:v>47.047692307692309</c:v>
                </c:pt>
                <c:pt idx="1">
                  <c:v>41.622388059701493</c:v>
                </c:pt>
                <c:pt idx="2">
                  <c:v>45.619117647058843</c:v>
                </c:pt>
              </c:numCache>
            </c:numRef>
          </c:val>
          <c:extLst>
            <c:ext xmlns:c16="http://schemas.microsoft.com/office/drawing/2014/chart" uri="{C3380CC4-5D6E-409C-BE32-E72D297353CC}">
              <c16:uniqueId val="{00000000-A313-44E3-A811-AE9A8E1A1100}"/>
            </c:ext>
          </c:extLst>
        </c:ser>
        <c:dLbls>
          <c:showLegendKey val="0"/>
          <c:showVal val="0"/>
          <c:showCatName val="0"/>
          <c:showSerName val="0"/>
          <c:showPercent val="0"/>
          <c:showBubbleSize val="0"/>
        </c:dLbls>
        <c:gapWidth val="219"/>
        <c:overlap val="-27"/>
        <c:axId val="1271435680"/>
        <c:axId val="1271416960"/>
      </c:barChart>
      <c:catAx>
        <c:axId val="127143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271416960"/>
        <c:crosses val="autoZero"/>
        <c:auto val="1"/>
        <c:lblAlgn val="ctr"/>
        <c:lblOffset val="100"/>
        <c:noMultiLvlLbl val="0"/>
      </c:catAx>
      <c:valAx>
        <c:axId val="127141696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27143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Food_Delivery_Route_Efficiency_Dataset.xlsx]OVERVIEW!PivotTable9</c:name>
    <c:fmtId val="0"/>
  </c:pivotSource>
  <c:chart>
    <c:autoTitleDeleted val="1"/>
    <c:pivotFmts>
      <c:pivotFmt>
        <c:idx val="0"/>
        <c:spPr>
          <a:solidFill>
            <a:schemeClr val="tx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OVERVIEW!$B$16</c:f>
              <c:strCache>
                <c:ptCount val="1"/>
                <c:pt idx="0">
                  <c:v>Total</c:v>
                </c:pt>
              </c:strCache>
            </c:strRef>
          </c:tx>
          <c:spPr>
            <a:solidFill>
              <a:schemeClr val="tx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OVERVIEW!$A$17:$A$20</c:f>
              <c:strCache>
                <c:ptCount val="4"/>
                <c:pt idx="0">
                  <c:v>Car</c:v>
                </c:pt>
                <c:pt idx="1">
                  <c:v>Bike</c:v>
                </c:pt>
                <c:pt idx="2">
                  <c:v>Scooter</c:v>
                </c:pt>
                <c:pt idx="3">
                  <c:v>Bicycle</c:v>
                </c:pt>
              </c:strCache>
            </c:strRef>
          </c:cat>
          <c:val>
            <c:numRef>
              <c:f>OVERVIEW!$B$17:$B$20</c:f>
              <c:numCache>
                <c:formatCode>0.0</c:formatCode>
                <c:ptCount val="4"/>
                <c:pt idx="0">
                  <c:v>41.47659574468085</c:v>
                </c:pt>
                <c:pt idx="1">
                  <c:v>42.316326530612251</c:v>
                </c:pt>
                <c:pt idx="2">
                  <c:v>46.094230769230769</c:v>
                </c:pt>
                <c:pt idx="3">
                  <c:v>48.636538461538471</c:v>
                </c:pt>
              </c:numCache>
            </c:numRef>
          </c:val>
          <c:extLst>
            <c:ext xmlns:c16="http://schemas.microsoft.com/office/drawing/2014/chart" uri="{C3380CC4-5D6E-409C-BE32-E72D297353CC}">
              <c16:uniqueId val="{00000000-06AD-4EEE-A0B6-771791291163}"/>
            </c:ext>
          </c:extLst>
        </c:ser>
        <c:dLbls>
          <c:dLblPos val="outEnd"/>
          <c:showLegendKey val="0"/>
          <c:showVal val="1"/>
          <c:showCatName val="0"/>
          <c:showSerName val="0"/>
          <c:showPercent val="0"/>
          <c:showBubbleSize val="0"/>
        </c:dLbls>
        <c:gapWidth val="128"/>
        <c:axId val="887003392"/>
        <c:axId val="887003808"/>
      </c:barChart>
      <c:catAx>
        <c:axId val="8870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887003808"/>
        <c:crosses val="autoZero"/>
        <c:auto val="1"/>
        <c:lblAlgn val="ctr"/>
        <c:lblOffset val="100"/>
        <c:noMultiLvlLbl val="0"/>
      </c:catAx>
      <c:valAx>
        <c:axId val="88700380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88700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Food_Delivery_Route_Efficiency_Dataset.xlsx]OVERVIEW!PivotTable10</c:name>
    <c:fmtId val="0"/>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OVERVIEW!$B$24</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OVERVIEW!$A$25:$A$28</c:f>
              <c:strCache>
                <c:ptCount val="4"/>
                <c:pt idx="0">
                  <c:v>10 km and above</c:v>
                </c:pt>
                <c:pt idx="1">
                  <c:v>5 to 10 km</c:v>
                </c:pt>
                <c:pt idx="2">
                  <c:v>2 to 5 km</c:v>
                </c:pt>
                <c:pt idx="3">
                  <c:v>&lt; 2 km</c:v>
                </c:pt>
              </c:strCache>
            </c:strRef>
          </c:cat>
          <c:val>
            <c:numRef>
              <c:f>OVERVIEW!$B$25:$B$28</c:f>
              <c:numCache>
                <c:formatCode>0.0</c:formatCode>
                <c:ptCount val="4"/>
                <c:pt idx="0">
                  <c:v>73.982978723404258</c:v>
                </c:pt>
                <c:pt idx="1">
                  <c:v>52.184810126582271</c:v>
                </c:pt>
                <c:pt idx="2">
                  <c:v>22.164814814814822</c:v>
                </c:pt>
                <c:pt idx="3">
                  <c:v>7.6099999999999994</c:v>
                </c:pt>
              </c:numCache>
            </c:numRef>
          </c:val>
          <c:extLst>
            <c:ext xmlns:c16="http://schemas.microsoft.com/office/drawing/2014/chart" uri="{C3380CC4-5D6E-409C-BE32-E72D297353CC}">
              <c16:uniqueId val="{00000000-8D3A-4CFC-9D9B-A54653E72068}"/>
            </c:ext>
          </c:extLst>
        </c:ser>
        <c:dLbls>
          <c:dLblPos val="outEnd"/>
          <c:showLegendKey val="0"/>
          <c:showVal val="1"/>
          <c:showCatName val="0"/>
          <c:showSerName val="0"/>
          <c:showPercent val="0"/>
          <c:showBubbleSize val="0"/>
        </c:dLbls>
        <c:gapWidth val="219"/>
        <c:overlap val="-27"/>
        <c:axId val="1448900224"/>
        <c:axId val="1448898144"/>
      </c:barChart>
      <c:catAx>
        <c:axId val="14489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448898144"/>
        <c:crosses val="autoZero"/>
        <c:auto val="1"/>
        <c:lblAlgn val="ctr"/>
        <c:lblOffset val="100"/>
        <c:noMultiLvlLbl val="0"/>
      </c:catAx>
      <c:valAx>
        <c:axId val="144889814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44890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Food_Delivery_Route_Efficiency_Dataset.xlsx]OVERVIEW!PivotTable12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s>
    <c:plotArea>
      <c:layout/>
      <c:barChart>
        <c:barDir val="col"/>
        <c:grouping val="clustered"/>
        <c:varyColors val="0"/>
        <c:ser>
          <c:idx val="0"/>
          <c:order val="0"/>
          <c:tx>
            <c:strRef>
              <c:f>OVERVIEW!$I$34</c:f>
              <c:strCache>
                <c:ptCount val="1"/>
                <c:pt idx="0">
                  <c:v>Total</c:v>
                </c:pt>
              </c:strCache>
            </c:strRef>
          </c:tx>
          <c:spPr>
            <a:solidFill>
              <a:schemeClr val="accent1"/>
            </a:solidFill>
            <a:ln>
              <a:noFill/>
            </a:ln>
            <a:effectLst/>
          </c:spPr>
          <c:invertIfNegative val="0"/>
          <c:dPt>
            <c:idx val="8"/>
            <c:invertIfNegative val="0"/>
            <c:bubble3D val="0"/>
            <c:spPr>
              <a:solidFill>
                <a:schemeClr val="accent4"/>
              </a:solidFill>
              <a:ln>
                <a:noFill/>
              </a:ln>
              <a:effectLst/>
            </c:spPr>
            <c:extLst>
              <c:ext xmlns:c16="http://schemas.microsoft.com/office/drawing/2014/chart" uri="{C3380CC4-5D6E-409C-BE32-E72D297353CC}">
                <c16:uniqueId val="{00000002-105D-4C56-A434-192F9DA883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OVERVIEW!$H$35:$H$58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OVERVIEW!$I$35:$I$58</c:f>
              <c:numCache>
                <c:formatCode>0</c:formatCode>
                <c:ptCount val="24"/>
                <c:pt idx="0">
                  <c:v>7</c:v>
                </c:pt>
                <c:pt idx="1">
                  <c:v>9</c:v>
                </c:pt>
                <c:pt idx="2">
                  <c:v>12</c:v>
                </c:pt>
                <c:pt idx="3">
                  <c:v>10</c:v>
                </c:pt>
                <c:pt idx="4">
                  <c:v>10</c:v>
                </c:pt>
                <c:pt idx="5">
                  <c:v>8</c:v>
                </c:pt>
                <c:pt idx="6">
                  <c:v>6</c:v>
                </c:pt>
                <c:pt idx="7">
                  <c:v>8</c:v>
                </c:pt>
                <c:pt idx="8">
                  <c:v>15</c:v>
                </c:pt>
                <c:pt idx="9">
                  <c:v>9</c:v>
                </c:pt>
                <c:pt idx="10">
                  <c:v>9</c:v>
                </c:pt>
                <c:pt idx="11">
                  <c:v>12</c:v>
                </c:pt>
                <c:pt idx="12">
                  <c:v>10</c:v>
                </c:pt>
                <c:pt idx="13">
                  <c:v>4</c:v>
                </c:pt>
                <c:pt idx="14">
                  <c:v>7</c:v>
                </c:pt>
                <c:pt idx="15">
                  <c:v>14</c:v>
                </c:pt>
                <c:pt idx="16">
                  <c:v>9</c:v>
                </c:pt>
                <c:pt idx="17">
                  <c:v>13</c:v>
                </c:pt>
                <c:pt idx="18">
                  <c:v>7</c:v>
                </c:pt>
                <c:pt idx="19">
                  <c:v>3</c:v>
                </c:pt>
                <c:pt idx="20">
                  <c:v>5</c:v>
                </c:pt>
                <c:pt idx="21">
                  <c:v>4</c:v>
                </c:pt>
                <c:pt idx="22">
                  <c:v>5</c:v>
                </c:pt>
                <c:pt idx="23">
                  <c:v>4</c:v>
                </c:pt>
              </c:numCache>
            </c:numRef>
          </c:val>
          <c:extLst>
            <c:ext xmlns:c16="http://schemas.microsoft.com/office/drawing/2014/chart" uri="{C3380CC4-5D6E-409C-BE32-E72D297353CC}">
              <c16:uniqueId val="{00000000-105D-4C56-A434-192F9DA8839A}"/>
            </c:ext>
          </c:extLst>
        </c:ser>
        <c:dLbls>
          <c:dLblPos val="outEnd"/>
          <c:showLegendKey val="0"/>
          <c:showVal val="1"/>
          <c:showCatName val="0"/>
          <c:showSerName val="0"/>
          <c:showPercent val="0"/>
          <c:showBubbleSize val="0"/>
        </c:dLbls>
        <c:gapWidth val="94"/>
        <c:overlap val="-27"/>
        <c:axId val="1663281792"/>
        <c:axId val="1663263488"/>
      </c:barChart>
      <c:catAx>
        <c:axId val="166328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63488"/>
        <c:crosses val="autoZero"/>
        <c:auto val="1"/>
        <c:lblAlgn val="ctr"/>
        <c:lblOffset val="100"/>
        <c:noMultiLvlLbl val="0"/>
      </c:catAx>
      <c:valAx>
        <c:axId val="16632634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81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Food_Delivery_Route_Efficiency_Dataset.xlsx]DRIVERS!PivotTable1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s>
    <c:plotArea>
      <c:layout/>
      <c:barChart>
        <c:barDir val="col"/>
        <c:grouping val="clustered"/>
        <c:varyColors val="0"/>
        <c:ser>
          <c:idx val="0"/>
          <c:order val="0"/>
          <c:tx>
            <c:strRef>
              <c:f>DRIVERS!$B$4</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2-84C7-44F7-B089-FA3D21DA0741}"/>
              </c:ext>
            </c:extLst>
          </c:dPt>
          <c:cat>
            <c:strRef>
              <c:f>DRIVERS!$A$5:$A$8</c:f>
              <c:strCache>
                <c:ptCount val="4"/>
                <c:pt idx="0">
                  <c:v>Clear</c:v>
                </c:pt>
                <c:pt idx="1">
                  <c:v>Rainy</c:v>
                </c:pt>
                <c:pt idx="2">
                  <c:v>Windy</c:v>
                </c:pt>
                <c:pt idx="3">
                  <c:v>Cloudy</c:v>
                </c:pt>
              </c:strCache>
            </c:strRef>
          </c:cat>
          <c:val>
            <c:numRef>
              <c:f>DRIVERS!$B$5:$B$8</c:f>
              <c:numCache>
                <c:formatCode>0.0</c:formatCode>
                <c:ptCount val="4"/>
                <c:pt idx="0">
                  <c:v>42.267500000000005</c:v>
                </c:pt>
                <c:pt idx="1">
                  <c:v>42.776363636363641</c:v>
                </c:pt>
                <c:pt idx="2">
                  <c:v>43.172000000000004</c:v>
                </c:pt>
                <c:pt idx="3">
                  <c:v>49.943636363636365</c:v>
                </c:pt>
              </c:numCache>
            </c:numRef>
          </c:val>
          <c:extLst>
            <c:ext xmlns:c16="http://schemas.microsoft.com/office/drawing/2014/chart" uri="{C3380CC4-5D6E-409C-BE32-E72D297353CC}">
              <c16:uniqueId val="{00000000-84C7-44F7-B089-FA3D21DA0741}"/>
            </c:ext>
          </c:extLst>
        </c:ser>
        <c:dLbls>
          <c:showLegendKey val="0"/>
          <c:showVal val="0"/>
          <c:showCatName val="0"/>
          <c:showSerName val="0"/>
          <c:showPercent val="0"/>
          <c:showBubbleSize val="0"/>
        </c:dLbls>
        <c:gapWidth val="219"/>
        <c:overlap val="-27"/>
        <c:axId val="1660080720"/>
        <c:axId val="1660080304"/>
      </c:barChart>
      <c:catAx>
        <c:axId val="166008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0080304"/>
        <c:crosses val="autoZero"/>
        <c:auto val="1"/>
        <c:lblAlgn val="ctr"/>
        <c:lblOffset val="100"/>
        <c:noMultiLvlLbl val="0"/>
      </c:catAx>
      <c:valAx>
        <c:axId val="166008030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0080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Food_Delivery_Route_Efficiency_Dataset.xlsx]DRIVERS!PivotTable2</c:name>
    <c:fmtId val="0"/>
  </c:pivotSource>
  <c:chart>
    <c:autoTitleDeleted val="1"/>
    <c:pivotFmts>
      <c:pivotFmt>
        <c:idx val="0"/>
        <c:spPr>
          <a:solidFill>
            <a:schemeClr val="tx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DRIVERS!$B$13</c:f>
              <c:strCache>
                <c:ptCount val="1"/>
                <c:pt idx="0">
                  <c:v>Total</c:v>
                </c:pt>
              </c:strCache>
            </c:strRef>
          </c:tx>
          <c:spPr>
            <a:solidFill>
              <a:schemeClr val="tx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DRIVERS!$A$14:$A$17</c:f>
              <c:strCache>
                <c:ptCount val="4"/>
                <c:pt idx="0">
                  <c:v>Car</c:v>
                </c:pt>
                <c:pt idx="1">
                  <c:v>Bike</c:v>
                </c:pt>
                <c:pt idx="2">
                  <c:v>Bicycle</c:v>
                </c:pt>
                <c:pt idx="3">
                  <c:v>Scooter</c:v>
                </c:pt>
              </c:strCache>
            </c:strRef>
          </c:cat>
          <c:val>
            <c:numRef>
              <c:f>DRIVERS!$B$14:$B$17</c:f>
              <c:numCache>
                <c:formatCode>0</c:formatCode>
                <c:ptCount val="4"/>
                <c:pt idx="0">
                  <c:v>47</c:v>
                </c:pt>
                <c:pt idx="1">
                  <c:v>49</c:v>
                </c:pt>
                <c:pt idx="2">
                  <c:v>52</c:v>
                </c:pt>
                <c:pt idx="3">
                  <c:v>52</c:v>
                </c:pt>
              </c:numCache>
            </c:numRef>
          </c:val>
          <c:extLst>
            <c:ext xmlns:c16="http://schemas.microsoft.com/office/drawing/2014/chart" uri="{C3380CC4-5D6E-409C-BE32-E72D297353CC}">
              <c16:uniqueId val="{00000000-8D34-4B1B-BBEA-3387741AACAE}"/>
            </c:ext>
          </c:extLst>
        </c:ser>
        <c:dLbls>
          <c:dLblPos val="outEnd"/>
          <c:showLegendKey val="0"/>
          <c:showVal val="1"/>
          <c:showCatName val="0"/>
          <c:showSerName val="0"/>
          <c:showPercent val="0"/>
          <c:showBubbleSize val="0"/>
        </c:dLbls>
        <c:gapWidth val="182"/>
        <c:axId val="1663282624"/>
        <c:axId val="1663285120"/>
      </c:barChart>
      <c:catAx>
        <c:axId val="166328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85120"/>
        <c:crosses val="autoZero"/>
        <c:auto val="1"/>
        <c:lblAlgn val="ctr"/>
        <c:lblOffset val="100"/>
        <c:noMultiLvlLbl val="0"/>
      </c:catAx>
      <c:valAx>
        <c:axId val="16632851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8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Food_Delivery_Route_Efficiency_Dataset.xlsx]DRIVERS!PivotTable3</c:name>
    <c:fmtId val="0"/>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DRIVERS!$B$22</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DRIVERS!$A$23:$A$26</c:f>
              <c:strCache>
                <c:ptCount val="4"/>
                <c:pt idx="0">
                  <c:v>10 km and above</c:v>
                </c:pt>
                <c:pt idx="1">
                  <c:v>5 to 10 km</c:v>
                </c:pt>
                <c:pt idx="2">
                  <c:v>2 to 5 km</c:v>
                </c:pt>
                <c:pt idx="3">
                  <c:v>&lt;2 km</c:v>
                </c:pt>
              </c:strCache>
            </c:strRef>
          </c:cat>
          <c:val>
            <c:numRef>
              <c:f>DRIVERS!$B$23:$B$26</c:f>
              <c:numCache>
                <c:formatCode>0.0</c:formatCode>
                <c:ptCount val="4"/>
                <c:pt idx="0">
                  <c:v>69.610256410256397</c:v>
                </c:pt>
                <c:pt idx="1">
                  <c:v>41.457377049180337</c:v>
                </c:pt>
                <c:pt idx="2">
                  <c:v>19.976744186046517</c:v>
                </c:pt>
                <c:pt idx="3">
                  <c:v>7.3000000000000007</c:v>
                </c:pt>
              </c:numCache>
            </c:numRef>
          </c:val>
          <c:extLst>
            <c:ext xmlns:c16="http://schemas.microsoft.com/office/drawing/2014/chart" uri="{C3380CC4-5D6E-409C-BE32-E72D297353CC}">
              <c16:uniqueId val="{00000000-1D69-4BB5-8087-85C78D0B8C25}"/>
            </c:ext>
          </c:extLst>
        </c:ser>
        <c:dLbls>
          <c:dLblPos val="outEnd"/>
          <c:showLegendKey val="0"/>
          <c:showVal val="1"/>
          <c:showCatName val="0"/>
          <c:showSerName val="0"/>
          <c:showPercent val="0"/>
          <c:showBubbleSize val="0"/>
        </c:dLbls>
        <c:gapWidth val="219"/>
        <c:overlap val="-27"/>
        <c:axId val="1663265568"/>
        <c:axId val="1663273472"/>
      </c:barChart>
      <c:catAx>
        <c:axId val="16632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73472"/>
        <c:crosses val="autoZero"/>
        <c:auto val="1"/>
        <c:lblAlgn val="ctr"/>
        <c:lblOffset val="100"/>
        <c:noMultiLvlLbl val="0"/>
      </c:catAx>
      <c:valAx>
        <c:axId val="166327347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6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Food_Delivery_Route_Efficiency_Dataset.xlsx]DRIVERS!PivotTable4</c:name>
    <c:fmtId val="0"/>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DRIVERS!$B$31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DRIVERS!$A$32:$A$36</c:f>
              <c:strCache>
                <c:ptCount val="5"/>
                <c:pt idx="0">
                  <c:v>East</c:v>
                </c:pt>
                <c:pt idx="1">
                  <c:v>North</c:v>
                </c:pt>
                <c:pt idx="2">
                  <c:v>West</c:v>
                </c:pt>
                <c:pt idx="3">
                  <c:v>Central</c:v>
                </c:pt>
                <c:pt idx="4">
                  <c:v>South</c:v>
                </c:pt>
              </c:strCache>
            </c:strRef>
          </c:cat>
          <c:val>
            <c:numRef>
              <c:f>DRIVERS!$B$32:$B$36</c:f>
              <c:numCache>
                <c:formatCode>0</c:formatCode>
                <c:ptCount val="5"/>
                <c:pt idx="0">
                  <c:v>28</c:v>
                </c:pt>
                <c:pt idx="1">
                  <c:v>30</c:v>
                </c:pt>
                <c:pt idx="2">
                  <c:v>41</c:v>
                </c:pt>
                <c:pt idx="3">
                  <c:v>47</c:v>
                </c:pt>
                <c:pt idx="4">
                  <c:v>54</c:v>
                </c:pt>
              </c:numCache>
            </c:numRef>
          </c:val>
          <c:extLst>
            <c:ext xmlns:c16="http://schemas.microsoft.com/office/drawing/2014/chart" uri="{C3380CC4-5D6E-409C-BE32-E72D297353CC}">
              <c16:uniqueId val="{00000000-A96C-4E57-B955-B8F52A7B08EB}"/>
            </c:ext>
          </c:extLst>
        </c:ser>
        <c:dLbls>
          <c:dLblPos val="outEnd"/>
          <c:showLegendKey val="0"/>
          <c:showVal val="1"/>
          <c:showCatName val="0"/>
          <c:showSerName val="0"/>
          <c:showPercent val="0"/>
          <c:showBubbleSize val="0"/>
        </c:dLbls>
        <c:gapWidth val="182"/>
        <c:axId val="1663268480"/>
        <c:axId val="1663256416"/>
      </c:barChart>
      <c:catAx>
        <c:axId val="166326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56416"/>
        <c:crosses val="autoZero"/>
        <c:auto val="1"/>
        <c:lblAlgn val="ctr"/>
        <c:lblOffset val="100"/>
        <c:noMultiLvlLbl val="0"/>
      </c:catAx>
      <c:valAx>
        <c:axId val="16632564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6326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ON Food_Delivery_Route_Efficiency_Dataset.xlsx]DRIVERS!PivotTable5</c:name>
    <c:fmtId val="0"/>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DRIVERS!$B$41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DRIVERS!$A$42:$A$46</c:f>
              <c:strCache>
                <c:ptCount val="5"/>
                <c:pt idx="0">
                  <c:v>West</c:v>
                </c:pt>
                <c:pt idx="1">
                  <c:v>South</c:v>
                </c:pt>
                <c:pt idx="2">
                  <c:v>Central</c:v>
                </c:pt>
                <c:pt idx="3">
                  <c:v>East</c:v>
                </c:pt>
                <c:pt idx="4">
                  <c:v>North</c:v>
                </c:pt>
              </c:strCache>
            </c:strRef>
          </c:cat>
          <c:val>
            <c:numRef>
              <c:f>DRIVERS!$B$42:$B$46</c:f>
              <c:numCache>
                <c:formatCode>0</c:formatCode>
                <c:ptCount val="5"/>
                <c:pt idx="0">
                  <c:v>35</c:v>
                </c:pt>
                <c:pt idx="1">
                  <c:v>36</c:v>
                </c:pt>
                <c:pt idx="2">
                  <c:v>38</c:v>
                </c:pt>
                <c:pt idx="3">
                  <c:v>45</c:v>
                </c:pt>
                <c:pt idx="4">
                  <c:v>46</c:v>
                </c:pt>
              </c:numCache>
            </c:numRef>
          </c:val>
          <c:extLst>
            <c:ext xmlns:c16="http://schemas.microsoft.com/office/drawing/2014/chart" uri="{C3380CC4-5D6E-409C-BE32-E72D297353CC}">
              <c16:uniqueId val="{00000000-F75D-4745-8964-37569D9776A6}"/>
            </c:ext>
          </c:extLst>
        </c:ser>
        <c:dLbls>
          <c:dLblPos val="outEnd"/>
          <c:showLegendKey val="0"/>
          <c:showVal val="1"/>
          <c:showCatName val="0"/>
          <c:showSerName val="0"/>
          <c:showPercent val="0"/>
          <c:showBubbleSize val="0"/>
        </c:dLbls>
        <c:gapWidth val="182"/>
        <c:axId val="1448849056"/>
        <c:axId val="1448854464"/>
      </c:barChart>
      <c:catAx>
        <c:axId val="144884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448854464"/>
        <c:crosses val="autoZero"/>
        <c:auto val="1"/>
        <c:lblAlgn val="ctr"/>
        <c:lblOffset val="100"/>
        <c:noMultiLvlLbl val="0"/>
      </c:catAx>
      <c:valAx>
        <c:axId val="144885446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448849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hyperlink" Target="#'PG 1'!A1"/><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image" Target="../media/image15.emf"/><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hyperlink" Target="#'PG 2'!A1"/></Relationships>
</file>

<file path=xl/drawings/_rels/drawing2.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13.png"/><Relationship Id="rId12" Type="http://schemas.openxmlformats.org/officeDocument/2006/relationships/chart" Target="../charts/chart7.xml"/><Relationship Id="rId17" Type="http://schemas.openxmlformats.org/officeDocument/2006/relationships/hyperlink" Target="#'PG 2'!A1"/><Relationship Id="rId2" Type="http://schemas.openxmlformats.org/officeDocument/2006/relationships/image" Target="../media/image2.svg"/><Relationship Id="rId16" Type="http://schemas.openxmlformats.org/officeDocument/2006/relationships/hyperlink" Target="#'PG 1'!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image" Target="../media/image11.png"/><Relationship Id="rId1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image" Target="../media/image18.svg"/><Relationship Id="rId1" Type="http://schemas.openxmlformats.org/officeDocument/2006/relationships/image" Target="../media/image17.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28</xdr:col>
      <xdr:colOff>190500</xdr:colOff>
      <xdr:row>72</xdr:row>
      <xdr:rowOff>114300</xdr:rowOff>
    </xdr:to>
    <xdr:sp macro="" textlink="">
      <xdr:nvSpPr>
        <xdr:cNvPr id="112" name="Rectangle 111">
          <a:extLst>
            <a:ext uri="{FF2B5EF4-FFF2-40B4-BE49-F238E27FC236}">
              <a16:creationId xmlns:a16="http://schemas.microsoft.com/office/drawing/2014/main" id="{5D1587C0-066E-44CF-B6C7-66E621355574}"/>
            </a:ext>
          </a:extLst>
        </xdr:cNvPr>
        <xdr:cNvSpPr/>
      </xdr:nvSpPr>
      <xdr:spPr>
        <a:xfrm>
          <a:off x="0" y="19050"/>
          <a:ext cx="17526000" cy="13811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533400</xdr:colOff>
      <xdr:row>0</xdr:row>
      <xdr:rowOff>165100</xdr:rowOff>
    </xdr:from>
    <xdr:to>
      <xdr:col>27</xdr:col>
      <xdr:colOff>317500</xdr:colOff>
      <xdr:row>5</xdr:row>
      <xdr:rowOff>0</xdr:rowOff>
    </xdr:to>
    <xdr:sp macro="" textlink="">
      <xdr:nvSpPr>
        <xdr:cNvPr id="28" name="Rectangle: Rounded Corners 27">
          <a:extLst>
            <a:ext uri="{FF2B5EF4-FFF2-40B4-BE49-F238E27FC236}">
              <a16:creationId xmlns:a16="http://schemas.microsoft.com/office/drawing/2014/main" id="{5839DD41-1E7C-4A8E-88F8-95C3CFA76910}"/>
            </a:ext>
          </a:extLst>
        </xdr:cNvPr>
        <xdr:cNvSpPr/>
      </xdr:nvSpPr>
      <xdr:spPr>
        <a:xfrm>
          <a:off x="533400" y="165100"/>
          <a:ext cx="16149782" cy="845127"/>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238124</xdr:colOff>
      <xdr:row>1</xdr:row>
      <xdr:rowOff>76200</xdr:rowOff>
    </xdr:from>
    <xdr:ext cx="10287000" cy="673100"/>
    <xdr:sp macro="" textlink="">
      <xdr:nvSpPr>
        <xdr:cNvPr id="29" name="TextBox 28">
          <a:extLst>
            <a:ext uri="{FF2B5EF4-FFF2-40B4-BE49-F238E27FC236}">
              <a16:creationId xmlns:a16="http://schemas.microsoft.com/office/drawing/2014/main" id="{1D5C1EC3-6C3F-4DD0-BE06-80BFB3CECDD5}"/>
            </a:ext>
          </a:extLst>
        </xdr:cNvPr>
        <xdr:cNvSpPr txBox="1"/>
      </xdr:nvSpPr>
      <xdr:spPr>
        <a:xfrm>
          <a:off x="2714624" y="266700"/>
          <a:ext cx="10287000" cy="673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000" b="1">
              <a:solidFill>
                <a:schemeClr val="accent1">
                  <a:lumMod val="50000"/>
                </a:schemeClr>
              </a:solidFill>
            </a:rPr>
            <a:t>                           FOOD DELIVERY ROUTE</a:t>
          </a:r>
          <a:r>
            <a:rPr lang="en-US" sz="3000" b="1" baseline="0">
              <a:solidFill>
                <a:schemeClr val="accent1">
                  <a:lumMod val="50000"/>
                </a:schemeClr>
              </a:solidFill>
            </a:rPr>
            <a:t> EFFICIENCY</a:t>
          </a:r>
          <a:r>
            <a:rPr lang="en-US" sz="3000" b="1">
              <a:solidFill>
                <a:schemeClr val="accent1">
                  <a:lumMod val="50000"/>
                </a:schemeClr>
              </a:solidFill>
            </a:rPr>
            <a:t> DASHBOARD</a:t>
          </a:r>
        </a:p>
      </xdr:txBody>
    </xdr:sp>
    <xdr:clientData/>
  </xdr:oneCellAnchor>
  <xdr:twoCellAnchor editAs="oneCell">
    <xdr:from>
      <xdr:col>1</xdr:col>
      <xdr:colOff>87313</xdr:colOff>
      <xdr:row>0</xdr:row>
      <xdr:rowOff>165100</xdr:rowOff>
    </xdr:from>
    <xdr:to>
      <xdr:col>2</xdr:col>
      <xdr:colOff>239713</xdr:colOff>
      <xdr:row>4</xdr:row>
      <xdr:rowOff>165100</xdr:rowOff>
    </xdr:to>
    <xdr:pic>
      <xdr:nvPicPr>
        <xdr:cNvPr id="30" name="Graphic 29" descr="Fork and knife with solid fill">
          <a:extLst>
            <a:ext uri="{FF2B5EF4-FFF2-40B4-BE49-F238E27FC236}">
              <a16:creationId xmlns:a16="http://schemas.microsoft.com/office/drawing/2014/main" id="{7B6EEAA0-36DE-460A-AC41-221DE5E792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06438" y="165100"/>
          <a:ext cx="771525" cy="762000"/>
        </a:xfrm>
        <a:prstGeom prst="rect">
          <a:avLst/>
        </a:prstGeom>
      </xdr:spPr>
    </xdr:pic>
    <xdr:clientData/>
  </xdr:twoCellAnchor>
  <xdr:twoCellAnchor>
    <xdr:from>
      <xdr:col>0</xdr:col>
      <xdr:colOff>592718</xdr:colOff>
      <xdr:row>14</xdr:row>
      <xdr:rowOff>133350</xdr:rowOff>
    </xdr:from>
    <xdr:to>
      <xdr:col>4</xdr:col>
      <xdr:colOff>11468</xdr:colOff>
      <xdr:row>70</xdr:row>
      <xdr:rowOff>152400</xdr:rowOff>
    </xdr:to>
    <xdr:grpSp>
      <xdr:nvGrpSpPr>
        <xdr:cNvPr id="47" name="Group 46">
          <a:extLst>
            <a:ext uri="{FF2B5EF4-FFF2-40B4-BE49-F238E27FC236}">
              <a16:creationId xmlns:a16="http://schemas.microsoft.com/office/drawing/2014/main" id="{4373B13A-5393-467E-BF4D-C03B6C6195FC}"/>
            </a:ext>
          </a:extLst>
        </xdr:cNvPr>
        <xdr:cNvGrpSpPr/>
      </xdr:nvGrpSpPr>
      <xdr:grpSpPr>
        <a:xfrm>
          <a:off x="592718" y="2800350"/>
          <a:ext cx="1895250" cy="10687050"/>
          <a:chOff x="783218" y="1567316"/>
          <a:chExt cx="1857150" cy="8662251"/>
        </a:xfrm>
      </xdr:grpSpPr>
      <mc:AlternateContent xmlns:mc="http://schemas.openxmlformats.org/markup-compatibility/2006" xmlns:a14="http://schemas.microsoft.com/office/drawing/2010/main">
        <mc:Choice Requires="a14">
          <xdr:graphicFrame macro="">
            <xdr:nvGraphicFramePr>
              <xdr:cNvPr id="40" name="weather 1">
                <a:extLst>
                  <a:ext uri="{FF2B5EF4-FFF2-40B4-BE49-F238E27FC236}">
                    <a16:creationId xmlns:a16="http://schemas.microsoft.com/office/drawing/2014/main" id="{798365BF-54B6-4C35-879C-2DF74855F9FA}"/>
                  </a:ext>
                </a:extLst>
              </xdr:cNvPr>
              <xdr:cNvGraphicFramePr/>
            </xdr:nvGraphicFramePr>
            <xdr:xfrm>
              <a:off x="840368" y="3070149"/>
              <a:ext cx="1800000" cy="1440000"/>
            </xdr:xfrm>
            <a:graphic>
              <a:graphicData uri="http://schemas.microsoft.com/office/drawing/2010/slicer">
                <sle:slicer xmlns:sle="http://schemas.microsoft.com/office/drawing/2010/slicer" name="weather 1"/>
              </a:graphicData>
            </a:graphic>
          </xdr:graphicFrame>
        </mc:Choice>
        <mc:Fallback xmlns="">
          <xdr:sp macro="" textlink="">
            <xdr:nvSpPr>
              <xdr:cNvPr id="0" name=""/>
              <xdr:cNvSpPr>
                <a:spLocks noTextEdit="1"/>
              </xdr:cNvSpPr>
            </xdr:nvSpPr>
            <xdr:spPr>
              <a:xfrm>
                <a:off x="651040" y="4654470"/>
                <a:ext cx="1836928" cy="177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traffic_level 2">
                <a:extLst>
                  <a:ext uri="{FF2B5EF4-FFF2-40B4-BE49-F238E27FC236}">
                    <a16:creationId xmlns:a16="http://schemas.microsoft.com/office/drawing/2014/main" id="{08053D4E-3550-4CD8-86A3-68D2582BFD66}"/>
                  </a:ext>
                </a:extLst>
              </xdr:cNvPr>
              <xdr:cNvGraphicFramePr/>
            </xdr:nvGraphicFramePr>
            <xdr:xfrm>
              <a:off x="840368" y="1567316"/>
              <a:ext cx="1800000" cy="1188000"/>
            </xdr:xfrm>
            <a:graphic>
              <a:graphicData uri="http://schemas.microsoft.com/office/drawing/2010/slicer">
                <sle:slicer xmlns:sle="http://schemas.microsoft.com/office/drawing/2010/slicer" name="traffic_level 2"/>
              </a:graphicData>
            </a:graphic>
          </xdr:graphicFrame>
        </mc:Choice>
        <mc:Fallback xmlns="">
          <xdr:sp macro="" textlink="">
            <xdr:nvSpPr>
              <xdr:cNvPr id="0" name=""/>
              <xdr:cNvSpPr>
                <a:spLocks noTextEdit="1"/>
              </xdr:cNvSpPr>
            </xdr:nvSpPr>
            <xdr:spPr>
              <a:xfrm>
                <a:off x="651040" y="2800350"/>
                <a:ext cx="1836928" cy="1465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delivery_mode 2">
                <a:extLst>
                  <a:ext uri="{FF2B5EF4-FFF2-40B4-BE49-F238E27FC236}">
                    <a16:creationId xmlns:a16="http://schemas.microsoft.com/office/drawing/2014/main" id="{1D6E109A-1E79-4292-90B9-47361FB714E6}"/>
                  </a:ext>
                </a:extLst>
              </xdr:cNvPr>
              <xdr:cNvGraphicFramePr/>
            </xdr:nvGraphicFramePr>
            <xdr:xfrm>
              <a:off x="821318" y="4784533"/>
              <a:ext cx="1800000" cy="1476000"/>
            </xdr:xfrm>
            <a:graphic>
              <a:graphicData uri="http://schemas.microsoft.com/office/drawing/2010/slicer">
                <sle:slicer xmlns:sle="http://schemas.microsoft.com/office/drawing/2010/slicer" name="delivery_mode 2"/>
              </a:graphicData>
            </a:graphic>
          </xdr:graphicFrame>
        </mc:Choice>
        <mc:Fallback xmlns="">
          <xdr:sp macro="" textlink="">
            <xdr:nvSpPr>
              <xdr:cNvPr id="0" name=""/>
              <xdr:cNvSpPr>
                <a:spLocks noTextEdit="1"/>
              </xdr:cNvSpPr>
            </xdr:nvSpPr>
            <xdr:spPr>
              <a:xfrm>
                <a:off x="631600" y="6769591"/>
                <a:ext cx="1836928" cy="1821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5" name="restaurant_zone 2">
                <a:extLst>
                  <a:ext uri="{FF2B5EF4-FFF2-40B4-BE49-F238E27FC236}">
                    <a16:creationId xmlns:a16="http://schemas.microsoft.com/office/drawing/2014/main" id="{499B5391-31A3-43E7-96DF-5C6C988962AF}"/>
                  </a:ext>
                </a:extLst>
              </xdr:cNvPr>
              <xdr:cNvGraphicFramePr/>
            </xdr:nvGraphicFramePr>
            <xdr:xfrm>
              <a:off x="802268" y="6518100"/>
              <a:ext cx="1800000" cy="1764000"/>
            </xdr:xfrm>
            <a:graphic>
              <a:graphicData uri="http://schemas.microsoft.com/office/drawing/2010/slicer">
                <sle:slicer xmlns:sle="http://schemas.microsoft.com/office/drawing/2010/slicer" name="restaurant_zone 2"/>
              </a:graphicData>
            </a:graphic>
          </xdr:graphicFrame>
        </mc:Choice>
        <mc:Fallback xmlns="">
          <xdr:sp macro="" textlink="">
            <xdr:nvSpPr>
              <xdr:cNvPr id="0" name=""/>
              <xdr:cNvSpPr>
                <a:spLocks noTextEdit="1"/>
              </xdr:cNvSpPr>
            </xdr:nvSpPr>
            <xdr:spPr>
              <a:xfrm>
                <a:off x="612159" y="8908379"/>
                <a:ext cx="1836928" cy="2176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6" name="customer_zone 2">
                <a:extLst>
                  <a:ext uri="{FF2B5EF4-FFF2-40B4-BE49-F238E27FC236}">
                    <a16:creationId xmlns:a16="http://schemas.microsoft.com/office/drawing/2014/main" id="{D1C0253B-2021-421C-AD37-4838129D02D5}"/>
                  </a:ext>
                </a:extLst>
              </xdr:cNvPr>
              <xdr:cNvGraphicFramePr/>
            </xdr:nvGraphicFramePr>
            <xdr:xfrm>
              <a:off x="783218" y="8501567"/>
              <a:ext cx="1800000" cy="1728000"/>
            </xdr:xfrm>
            <a:graphic>
              <a:graphicData uri="http://schemas.microsoft.com/office/drawing/2010/slicer">
                <sle:slicer xmlns:sle="http://schemas.microsoft.com/office/drawing/2010/slicer" name="customer_zone 2"/>
              </a:graphicData>
            </a:graphic>
          </xdr:graphicFrame>
        </mc:Choice>
        <mc:Fallback xmlns="">
          <xdr:sp macro="" textlink="">
            <xdr:nvSpPr>
              <xdr:cNvPr id="0" name=""/>
              <xdr:cNvSpPr>
                <a:spLocks noTextEdit="1"/>
              </xdr:cNvSpPr>
            </xdr:nvSpPr>
            <xdr:spPr>
              <a:xfrm>
                <a:off x="592718" y="11355480"/>
                <a:ext cx="1836928" cy="2131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171450</xdr:colOff>
      <xdr:row>5</xdr:row>
      <xdr:rowOff>171450</xdr:rowOff>
    </xdr:from>
    <xdr:to>
      <xdr:col>7</xdr:col>
      <xdr:colOff>590550</xdr:colOff>
      <xdr:row>13</xdr:row>
      <xdr:rowOff>171450</xdr:rowOff>
    </xdr:to>
    <xdr:sp macro="" textlink="">
      <xdr:nvSpPr>
        <xdr:cNvPr id="48" name="Rectangle: Rounded Corners 47">
          <a:extLst>
            <a:ext uri="{FF2B5EF4-FFF2-40B4-BE49-F238E27FC236}">
              <a16:creationId xmlns:a16="http://schemas.microsoft.com/office/drawing/2014/main" id="{7F130A2D-0B84-479C-A9C4-DAD592BC979E}"/>
            </a:ext>
          </a:extLst>
        </xdr:cNvPr>
        <xdr:cNvSpPr/>
      </xdr:nvSpPr>
      <xdr:spPr>
        <a:xfrm>
          <a:off x="2609850" y="1123950"/>
          <a:ext cx="2247900" cy="15240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590550</xdr:colOff>
      <xdr:row>5</xdr:row>
      <xdr:rowOff>171450</xdr:rowOff>
    </xdr:from>
    <xdr:to>
      <xdr:col>15</xdr:col>
      <xdr:colOff>400050</xdr:colOff>
      <xdr:row>13</xdr:row>
      <xdr:rowOff>171450</xdr:rowOff>
    </xdr:to>
    <xdr:sp macro="" textlink="">
      <xdr:nvSpPr>
        <xdr:cNvPr id="49" name="Rectangle: Rounded Corners 48">
          <a:extLst>
            <a:ext uri="{FF2B5EF4-FFF2-40B4-BE49-F238E27FC236}">
              <a16:creationId xmlns:a16="http://schemas.microsoft.com/office/drawing/2014/main" id="{8BA9A0FD-CC39-4EA8-BE0B-D657ED4F2F50}"/>
            </a:ext>
          </a:extLst>
        </xdr:cNvPr>
        <xdr:cNvSpPr/>
      </xdr:nvSpPr>
      <xdr:spPr>
        <a:xfrm>
          <a:off x="7296150" y="1123950"/>
          <a:ext cx="2247900" cy="15240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400050</xdr:colOff>
      <xdr:row>5</xdr:row>
      <xdr:rowOff>171450</xdr:rowOff>
    </xdr:from>
    <xdr:to>
      <xdr:col>23</xdr:col>
      <xdr:colOff>209550</xdr:colOff>
      <xdr:row>13</xdr:row>
      <xdr:rowOff>171450</xdr:rowOff>
    </xdr:to>
    <xdr:sp macro="" textlink="">
      <xdr:nvSpPr>
        <xdr:cNvPr id="50" name="Rectangle: Rounded Corners 49">
          <a:extLst>
            <a:ext uri="{FF2B5EF4-FFF2-40B4-BE49-F238E27FC236}">
              <a16:creationId xmlns:a16="http://schemas.microsoft.com/office/drawing/2014/main" id="{1AAF80DB-0936-45BB-BDE1-818B6EC1BDC0}"/>
            </a:ext>
          </a:extLst>
        </xdr:cNvPr>
        <xdr:cNvSpPr/>
      </xdr:nvSpPr>
      <xdr:spPr>
        <a:xfrm>
          <a:off x="11982450" y="1123950"/>
          <a:ext cx="2247900" cy="15240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76200</xdr:colOff>
      <xdr:row>5</xdr:row>
      <xdr:rowOff>171450</xdr:rowOff>
    </xdr:from>
    <xdr:to>
      <xdr:col>11</xdr:col>
      <xdr:colOff>495300</xdr:colOff>
      <xdr:row>13</xdr:row>
      <xdr:rowOff>171450</xdr:rowOff>
    </xdr:to>
    <xdr:sp macro="" textlink="">
      <xdr:nvSpPr>
        <xdr:cNvPr id="51" name="Rectangle: Rounded Corners 50">
          <a:extLst>
            <a:ext uri="{FF2B5EF4-FFF2-40B4-BE49-F238E27FC236}">
              <a16:creationId xmlns:a16="http://schemas.microsoft.com/office/drawing/2014/main" id="{754F5AAE-3916-4C84-BF7B-3A31D25D29B0}"/>
            </a:ext>
          </a:extLst>
        </xdr:cNvPr>
        <xdr:cNvSpPr/>
      </xdr:nvSpPr>
      <xdr:spPr>
        <a:xfrm>
          <a:off x="4953000" y="1123950"/>
          <a:ext cx="2247900" cy="15240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495300</xdr:colOff>
      <xdr:row>5</xdr:row>
      <xdr:rowOff>171450</xdr:rowOff>
    </xdr:from>
    <xdr:to>
      <xdr:col>19</xdr:col>
      <xdr:colOff>304800</xdr:colOff>
      <xdr:row>13</xdr:row>
      <xdr:rowOff>171450</xdr:rowOff>
    </xdr:to>
    <xdr:sp macro="" textlink="">
      <xdr:nvSpPr>
        <xdr:cNvPr id="52" name="Rectangle: Rounded Corners 51">
          <a:extLst>
            <a:ext uri="{FF2B5EF4-FFF2-40B4-BE49-F238E27FC236}">
              <a16:creationId xmlns:a16="http://schemas.microsoft.com/office/drawing/2014/main" id="{C59F9BFD-3D65-4973-8BF1-E7E3331052EA}"/>
            </a:ext>
          </a:extLst>
        </xdr:cNvPr>
        <xdr:cNvSpPr/>
      </xdr:nvSpPr>
      <xdr:spPr>
        <a:xfrm>
          <a:off x="9639300" y="1123950"/>
          <a:ext cx="2247900" cy="15240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304799</xdr:colOff>
      <xdr:row>5</xdr:row>
      <xdr:rowOff>171450</xdr:rowOff>
    </xdr:from>
    <xdr:to>
      <xdr:col>27</xdr:col>
      <xdr:colOff>346362</xdr:colOff>
      <xdr:row>13</xdr:row>
      <xdr:rowOff>171450</xdr:rowOff>
    </xdr:to>
    <xdr:sp macro="" textlink="">
      <xdr:nvSpPr>
        <xdr:cNvPr id="53" name="Rectangle: Rounded Corners 52">
          <a:extLst>
            <a:ext uri="{FF2B5EF4-FFF2-40B4-BE49-F238E27FC236}">
              <a16:creationId xmlns:a16="http://schemas.microsoft.com/office/drawing/2014/main" id="{2943E646-FB91-4465-9D43-A639C394309C}"/>
            </a:ext>
          </a:extLst>
        </xdr:cNvPr>
        <xdr:cNvSpPr/>
      </xdr:nvSpPr>
      <xdr:spPr>
        <a:xfrm>
          <a:off x="14245935" y="1181677"/>
          <a:ext cx="2466109" cy="1616364"/>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70</xdr:row>
      <xdr:rowOff>180976</xdr:rowOff>
    </xdr:from>
    <xdr:to>
      <xdr:col>28</xdr:col>
      <xdr:colOff>238124</xdr:colOff>
      <xdr:row>72</xdr:row>
      <xdr:rowOff>119062</xdr:rowOff>
    </xdr:to>
    <xdr:sp macro="" textlink="">
      <xdr:nvSpPr>
        <xdr:cNvPr id="54" name="Rectangle: Rounded Corners 53">
          <a:extLst>
            <a:ext uri="{FF2B5EF4-FFF2-40B4-BE49-F238E27FC236}">
              <a16:creationId xmlns:a16="http://schemas.microsoft.com/office/drawing/2014/main" id="{4CEEBF2E-C472-49B7-B7C3-4970F9047226}"/>
            </a:ext>
          </a:extLst>
        </xdr:cNvPr>
        <xdr:cNvSpPr/>
      </xdr:nvSpPr>
      <xdr:spPr>
        <a:xfrm>
          <a:off x="0" y="13515976"/>
          <a:ext cx="17573624" cy="319086"/>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2">
                  <a:lumMod val="50000"/>
                </a:schemeClr>
              </a:solidFill>
            </a:rPr>
            <a:t>SOURCE:FOOD_DELIVERY_ROUTE_EFFFICIENCY_DATASET</a:t>
          </a:r>
          <a:r>
            <a:rPr lang="en-US" sz="1200" b="1" baseline="0">
              <a:solidFill>
                <a:schemeClr val="accent2">
                  <a:lumMod val="50000"/>
                </a:schemeClr>
              </a:solidFill>
            </a:rPr>
            <a:t> | #dataforgechallenge</a:t>
          </a:r>
          <a:endParaRPr lang="en-US" sz="1200" b="1">
            <a:solidFill>
              <a:schemeClr val="accent2">
                <a:lumMod val="50000"/>
              </a:schemeClr>
            </a:solidFill>
          </a:endParaRPr>
        </a:p>
      </xdr:txBody>
    </xdr:sp>
    <xdr:clientData/>
  </xdr:twoCellAnchor>
  <xdr:twoCellAnchor editAs="oneCell">
    <xdr:from>
      <xdr:col>4</xdr:col>
      <xdr:colOff>247650</xdr:colOff>
      <xdr:row>8</xdr:row>
      <xdr:rowOff>38100</xdr:rowOff>
    </xdr:from>
    <xdr:to>
      <xdr:col>5</xdr:col>
      <xdr:colOff>228600</xdr:colOff>
      <xdr:row>11</xdr:row>
      <xdr:rowOff>57150</xdr:rowOff>
    </xdr:to>
    <xdr:pic>
      <xdr:nvPicPr>
        <xdr:cNvPr id="55" name="Graphic 54" descr="Shopping cart with solid fill">
          <a:extLst>
            <a:ext uri="{FF2B5EF4-FFF2-40B4-BE49-F238E27FC236}">
              <a16:creationId xmlns:a16="http://schemas.microsoft.com/office/drawing/2014/main" id="{CE63A26C-B8DE-4ABE-8D15-A36C22D6FA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686050" y="1562100"/>
          <a:ext cx="590550" cy="590550"/>
        </a:xfrm>
        <a:prstGeom prst="rect">
          <a:avLst/>
        </a:prstGeom>
      </xdr:spPr>
    </xdr:pic>
    <xdr:clientData/>
  </xdr:twoCellAnchor>
  <xdr:twoCellAnchor editAs="oneCell">
    <xdr:from>
      <xdr:col>12</xdr:col>
      <xdr:colOff>0</xdr:colOff>
      <xdr:row>8</xdr:row>
      <xdr:rowOff>0</xdr:rowOff>
    </xdr:from>
    <xdr:to>
      <xdr:col>13</xdr:col>
      <xdr:colOff>95250</xdr:colOff>
      <xdr:row>11</xdr:row>
      <xdr:rowOff>133350</xdr:rowOff>
    </xdr:to>
    <xdr:pic>
      <xdr:nvPicPr>
        <xdr:cNvPr id="56" name="Graphic 55" descr="Stopwatch with solid fill">
          <a:extLst>
            <a:ext uri="{FF2B5EF4-FFF2-40B4-BE49-F238E27FC236}">
              <a16:creationId xmlns:a16="http://schemas.microsoft.com/office/drawing/2014/main" id="{10DD54DB-876A-4CEB-83F9-AB1E9CF851F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315200" y="1524000"/>
          <a:ext cx="704850" cy="704850"/>
        </a:xfrm>
        <a:prstGeom prst="rect">
          <a:avLst/>
        </a:prstGeom>
      </xdr:spPr>
    </xdr:pic>
    <xdr:clientData/>
  </xdr:twoCellAnchor>
  <xdr:twoCellAnchor editAs="oneCell">
    <xdr:from>
      <xdr:col>16</xdr:col>
      <xdr:colOff>57150</xdr:colOff>
      <xdr:row>7</xdr:row>
      <xdr:rowOff>114300</xdr:rowOff>
    </xdr:from>
    <xdr:to>
      <xdr:col>17</xdr:col>
      <xdr:colOff>190500</xdr:colOff>
      <xdr:row>11</xdr:row>
      <xdr:rowOff>95250</xdr:rowOff>
    </xdr:to>
    <xdr:pic>
      <xdr:nvPicPr>
        <xdr:cNvPr id="58" name="Graphic 57" descr="Gauge with solid fill">
          <a:extLst>
            <a:ext uri="{FF2B5EF4-FFF2-40B4-BE49-F238E27FC236}">
              <a16:creationId xmlns:a16="http://schemas.microsoft.com/office/drawing/2014/main" id="{501DCF1C-05CD-48C0-A801-4D699300E67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810750" y="1447800"/>
          <a:ext cx="742950" cy="742950"/>
        </a:xfrm>
        <a:prstGeom prst="rect">
          <a:avLst/>
        </a:prstGeom>
      </xdr:spPr>
    </xdr:pic>
    <xdr:clientData/>
  </xdr:twoCellAnchor>
  <xdr:twoCellAnchor editAs="oneCell">
    <xdr:from>
      <xdr:col>8</xdr:col>
      <xdr:colOff>114300</xdr:colOff>
      <xdr:row>8</xdr:row>
      <xdr:rowOff>0</xdr:rowOff>
    </xdr:from>
    <xdr:to>
      <xdr:col>9</xdr:col>
      <xdr:colOff>228600</xdr:colOff>
      <xdr:row>11</xdr:row>
      <xdr:rowOff>152400</xdr:rowOff>
    </xdr:to>
    <xdr:pic>
      <xdr:nvPicPr>
        <xdr:cNvPr id="59" name="Graphic 58" descr="Playbook with solid fill">
          <a:extLst>
            <a:ext uri="{FF2B5EF4-FFF2-40B4-BE49-F238E27FC236}">
              <a16:creationId xmlns:a16="http://schemas.microsoft.com/office/drawing/2014/main" id="{4695EDC8-3760-4F92-9297-A7EEC33DC34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991100" y="1524000"/>
          <a:ext cx="723900" cy="723900"/>
        </a:xfrm>
        <a:prstGeom prst="rect">
          <a:avLst/>
        </a:prstGeom>
      </xdr:spPr>
    </xdr:pic>
    <xdr:clientData/>
  </xdr:twoCellAnchor>
  <xdr:twoCellAnchor editAs="oneCell">
    <xdr:from>
      <xdr:col>23</xdr:col>
      <xdr:colOff>342900</xdr:colOff>
      <xdr:row>8</xdr:row>
      <xdr:rowOff>19050</xdr:rowOff>
    </xdr:from>
    <xdr:to>
      <xdr:col>24</xdr:col>
      <xdr:colOff>381000</xdr:colOff>
      <xdr:row>11</xdr:row>
      <xdr:rowOff>95250</xdr:rowOff>
    </xdr:to>
    <xdr:pic>
      <xdr:nvPicPr>
        <xdr:cNvPr id="60" name="Graphic 59" descr="Map with pin with solid fill">
          <a:extLst>
            <a:ext uri="{FF2B5EF4-FFF2-40B4-BE49-F238E27FC236}">
              <a16:creationId xmlns:a16="http://schemas.microsoft.com/office/drawing/2014/main" id="{98CEBD18-01C6-4B22-8D49-C84995EDD64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4363700" y="1543050"/>
          <a:ext cx="647700" cy="647700"/>
        </a:xfrm>
        <a:prstGeom prst="rect">
          <a:avLst/>
        </a:prstGeom>
      </xdr:spPr>
    </xdr:pic>
    <xdr:clientData/>
  </xdr:twoCellAnchor>
  <xdr:oneCellAnchor>
    <xdr:from>
      <xdr:col>4</xdr:col>
      <xdr:colOff>571500</xdr:colOff>
      <xdr:row>6</xdr:row>
      <xdr:rowOff>152400</xdr:rowOff>
    </xdr:from>
    <xdr:ext cx="1828800" cy="819150"/>
    <xdr:sp macro="" textlink="">
      <xdr:nvSpPr>
        <xdr:cNvPr id="61" name="TextBox 60">
          <a:extLst>
            <a:ext uri="{FF2B5EF4-FFF2-40B4-BE49-F238E27FC236}">
              <a16:creationId xmlns:a16="http://schemas.microsoft.com/office/drawing/2014/main" id="{492B1A0B-4838-4E9C-941C-EEF8DA470C5F}"/>
            </a:ext>
          </a:extLst>
        </xdr:cNvPr>
        <xdr:cNvSpPr txBox="1"/>
      </xdr:nvSpPr>
      <xdr:spPr>
        <a:xfrm>
          <a:off x="3009900" y="1295400"/>
          <a:ext cx="1828800" cy="819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000" b="1">
              <a:solidFill>
                <a:schemeClr val="accent2">
                  <a:lumMod val="50000"/>
                </a:schemeClr>
              </a:solidFill>
              <a:latin typeface="+mn-lt"/>
            </a:rPr>
            <a:t>TOTAL</a:t>
          </a:r>
        </a:p>
        <a:p>
          <a:pPr algn="ctr"/>
          <a:r>
            <a:rPr lang="en-US" sz="2000" b="1">
              <a:solidFill>
                <a:schemeClr val="accent2">
                  <a:lumMod val="50000"/>
                </a:schemeClr>
              </a:solidFill>
              <a:latin typeface="+mn-lt"/>
            </a:rPr>
            <a:t> ORDERS</a:t>
          </a:r>
        </a:p>
      </xdr:txBody>
    </xdr:sp>
    <xdr:clientData/>
  </xdr:oneCellAnchor>
  <xdr:oneCellAnchor>
    <xdr:from>
      <xdr:col>12</xdr:col>
      <xdr:colOff>476250</xdr:colOff>
      <xdr:row>6</xdr:row>
      <xdr:rowOff>152400</xdr:rowOff>
    </xdr:from>
    <xdr:ext cx="1642244" cy="781050"/>
    <xdr:sp macro="" textlink="">
      <xdr:nvSpPr>
        <xdr:cNvPr id="62" name="TextBox 61">
          <a:extLst>
            <a:ext uri="{FF2B5EF4-FFF2-40B4-BE49-F238E27FC236}">
              <a16:creationId xmlns:a16="http://schemas.microsoft.com/office/drawing/2014/main" id="{8CD30BF5-BEA2-47F0-8510-44AAD5846B47}"/>
            </a:ext>
          </a:extLst>
        </xdr:cNvPr>
        <xdr:cNvSpPr txBox="1"/>
      </xdr:nvSpPr>
      <xdr:spPr>
        <a:xfrm>
          <a:off x="7791450" y="1295400"/>
          <a:ext cx="1642244" cy="781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000" b="1">
              <a:solidFill>
                <a:schemeClr val="accent2">
                  <a:lumMod val="50000"/>
                </a:schemeClr>
              </a:solidFill>
              <a:latin typeface="+mn-lt"/>
            </a:rPr>
            <a:t>AVG. TIME</a:t>
          </a:r>
        </a:p>
        <a:p>
          <a:pPr algn="ctr"/>
          <a:r>
            <a:rPr lang="en-US" sz="2000" b="1">
              <a:solidFill>
                <a:schemeClr val="accent2">
                  <a:lumMod val="50000"/>
                </a:schemeClr>
              </a:solidFill>
              <a:latin typeface="+mn-lt"/>
            </a:rPr>
            <a:t>(MIN)</a:t>
          </a:r>
        </a:p>
      </xdr:txBody>
    </xdr:sp>
    <xdr:clientData/>
  </xdr:oneCellAnchor>
  <xdr:oneCellAnchor>
    <xdr:from>
      <xdr:col>20</xdr:col>
      <xdr:colOff>495300</xdr:colOff>
      <xdr:row>7</xdr:row>
      <xdr:rowOff>19050</xdr:rowOff>
    </xdr:from>
    <xdr:ext cx="1642244" cy="533400"/>
    <xdr:sp macro="" textlink="">
      <xdr:nvSpPr>
        <xdr:cNvPr id="63" name="TextBox 62">
          <a:extLst>
            <a:ext uri="{FF2B5EF4-FFF2-40B4-BE49-F238E27FC236}">
              <a16:creationId xmlns:a16="http://schemas.microsoft.com/office/drawing/2014/main" id="{DCEF2EDB-7011-45D5-BC2A-24197A0FAE60}"/>
            </a:ext>
          </a:extLst>
        </xdr:cNvPr>
        <xdr:cNvSpPr txBox="1"/>
      </xdr:nvSpPr>
      <xdr:spPr>
        <a:xfrm>
          <a:off x="12687300" y="1352550"/>
          <a:ext cx="1642244"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chemeClr val="accent2">
                  <a:lumMod val="50000"/>
                </a:schemeClr>
              </a:solidFill>
              <a:latin typeface="+mn-lt"/>
            </a:rPr>
            <a:t>ON-TIME</a:t>
          </a:r>
          <a:r>
            <a:rPr lang="en-US" sz="2000" b="1" baseline="0">
              <a:solidFill>
                <a:schemeClr val="accent2">
                  <a:lumMod val="50000"/>
                </a:schemeClr>
              </a:solidFill>
              <a:latin typeface="+mn-lt"/>
            </a:rPr>
            <a:t> (%)</a:t>
          </a:r>
          <a:endParaRPr lang="en-US" sz="2000" b="1">
            <a:solidFill>
              <a:schemeClr val="accent2">
                <a:lumMod val="50000"/>
              </a:schemeClr>
            </a:solidFill>
            <a:latin typeface="+mn-lt"/>
          </a:endParaRPr>
        </a:p>
      </xdr:txBody>
    </xdr:sp>
    <xdr:clientData/>
  </xdr:oneCellAnchor>
  <xdr:twoCellAnchor editAs="oneCell">
    <xdr:from>
      <xdr:col>19</xdr:col>
      <xdr:colOff>495300</xdr:colOff>
      <xdr:row>8</xdr:row>
      <xdr:rowOff>38100</xdr:rowOff>
    </xdr:from>
    <xdr:to>
      <xdr:col>20</xdr:col>
      <xdr:colOff>590550</xdr:colOff>
      <xdr:row>11</xdr:row>
      <xdr:rowOff>171450</xdr:rowOff>
    </xdr:to>
    <xdr:pic>
      <xdr:nvPicPr>
        <xdr:cNvPr id="64" name="Graphic 63" descr="Checklist with solid fill">
          <a:extLst>
            <a:ext uri="{FF2B5EF4-FFF2-40B4-BE49-F238E27FC236}">
              <a16:creationId xmlns:a16="http://schemas.microsoft.com/office/drawing/2014/main" id="{0F07A1CB-A93E-42CE-99B7-4C945D9C0E0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077700" y="1562100"/>
          <a:ext cx="704850" cy="704850"/>
        </a:xfrm>
        <a:prstGeom prst="rect">
          <a:avLst/>
        </a:prstGeom>
      </xdr:spPr>
    </xdr:pic>
    <xdr:clientData/>
  </xdr:twoCellAnchor>
  <xdr:oneCellAnchor>
    <xdr:from>
      <xdr:col>16</xdr:col>
      <xdr:colOff>495300</xdr:colOff>
      <xdr:row>6</xdr:row>
      <xdr:rowOff>95250</xdr:rowOff>
    </xdr:from>
    <xdr:ext cx="1642244" cy="762000"/>
    <xdr:sp macro="" textlink="">
      <xdr:nvSpPr>
        <xdr:cNvPr id="65" name="TextBox 64">
          <a:extLst>
            <a:ext uri="{FF2B5EF4-FFF2-40B4-BE49-F238E27FC236}">
              <a16:creationId xmlns:a16="http://schemas.microsoft.com/office/drawing/2014/main" id="{FE6BF98F-DDA6-4886-B2C4-5A6BF145AE01}"/>
            </a:ext>
          </a:extLst>
        </xdr:cNvPr>
        <xdr:cNvSpPr txBox="1"/>
      </xdr:nvSpPr>
      <xdr:spPr>
        <a:xfrm>
          <a:off x="10248900" y="1238250"/>
          <a:ext cx="1642244"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000" b="1">
              <a:solidFill>
                <a:schemeClr val="accent2">
                  <a:lumMod val="50000"/>
                </a:schemeClr>
              </a:solidFill>
              <a:latin typeface="+mn-lt"/>
            </a:rPr>
            <a:t>AVG. SPEED</a:t>
          </a:r>
        </a:p>
        <a:p>
          <a:pPr algn="ctr"/>
          <a:r>
            <a:rPr lang="en-US" sz="2000" b="1">
              <a:solidFill>
                <a:schemeClr val="accent2">
                  <a:lumMod val="50000"/>
                </a:schemeClr>
              </a:solidFill>
              <a:latin typeface="+mn-lt"/>
            </a:rPr>
            <a:t> (KM/H)</a:t>
          </a:r>
        </a:p>
      </xdr:txBody>
    </xdr:sp>
    <xdr:clientData/>
  </xdr:oneCellAnchor>
  <xdr:oneCellAnchor>
    <xdr:from>
      <xdr:col>9</xdr:col>
      <xdr:colOff>19050</xdr:colOff>
      <xdr:row>6</xdr:row>
      <xdr:rowOff>95250</xdr:rowOff>
    </xdr:from>
    <xdr:ext cx="1642244" cy="762000"/>
    <xdr:sp macro="" textlink="">
      <xdr:nvSpPr>
        <xdr:cNvPr id="66" name="TextBox 65">
          <a:extLst>
            <a:ext uri="{FF2B5EF4-FFF2-40B4-BE49-F238E27FC236}">
              <a16:creationId xmlns:a16="http://schemas.microsoft.com/office/drawing/2014/main" id="{EFC9F4DC-5F18-4E3C-B69E-CB4CA036EE5E}"/>
            </a:ext>
          </a:extLst>
        </xdr:cNvPr>
        <xdr:cNvSpPr txBox="1"/>
      </xdr:nvSpPr>
      <xdr:spPr>
        <a:xfrm>
          <a:off x="5505450" y="1238250"/>
          <a:ext cx="1642244"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000" b="1">
              <a:solidFill>
                <a:schemeClr val="accent2">
                  <a:lumMod val="50000"/>
                </a:schemeClr>
              </a:solidFill>
              <a:latin typeface="+mn-lt"/>
            </a:rPr>
            <a:t>AVG. DISTANCE</a:t>
          </a:r>
        </a:p>
        <a:p>
          <a:pPr algn="ctr"/>
          <a:r>
            <a:rPr lang="en-US" sz="2000" b="1">
              <a:solidFill>
                <a:schemeClr val="accent2">
                  <a:lumMod val="50000"/>
                </a:schemeClr>
              </a:solidFill>
              <a:latin typeface="+mn-lt"/>
            </a:rPr>
            <a:t>(KM)</a:t>
          </a:r>
        </a:p>
      </xdr:txBody>
    </xdr:sp>
    <xdr:clientData/>
  </xdr:oneCellAnchor>
  <xdr:oneCellAnchor>
    <xdr:from>
      <xdr:col>24</xdr:col>
      <xdr:colOff>190500</xdr:colOff>
      <xdr:row>6</xdr:row>
      <xdr:rowOff>152400</xdr:rowOff>
    </xdr:from>
    <xdr:ext cx="1642244" cy="762000"/>
    <xdr:sp macro="" textlink="">
      <xdr:nvSpPr>
        <xdr:cNvPr id="67" name="TextBox 66">
          <a:extLst>
            <a:ext uri="{FF2B5EF4-FFF2-40B4-BE49-F238E27FC236}">
              <a16:creationId xmlns:a16="http://schemas.microsoft.com/office/drawing/2014/main" id="{6516EFCF-DEF3-4CDC-8E45-C2A2E8DEA841}"/>
            </a:ext>
          </a:extLst>
        </xdr:cNvPr>
        <xdr:cNvSpPr txBox="1"/>
      </xdr:nvSpPr>
      <xdr:spPr>
        <a:xfrm>
          <a:off x="14820900" y="1295400"/>
          <a:ext cx="1642244"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000" b="1">
              <a:solidFill>
                <a:schemeClr val="accent2">
                  <a:lumMod val="50000"/>
                </a:schemeClr>
              </a:solidFill>
              <a:latin typeface="+mn-lt"/>
            </a:rPr>
            <a:t>ROUTE DETOUR</a:t>
          </a:r>
        </a:p>
        <a:p>
          <a:pPr algn="ctr"/>
          <a:r>
            <a:rPr lang="en-US" sz="2000" b="1">
              <a:solidFill>
                <a:schemeClr val="accent2">
                  <a:lumMod val="50000"/>
                </a:schemeClr>
              </a:solidFill>
              <a:latin typeface="+mn-lt"/>
            </a:rPr>
            <a:t>(%)</a:t>
          </a:r>
        </a:p>
      </xdr:txBody>
    </xdr:sp>
    <xdr:clientData/>
  </xdr:oneCellAnchor>
  <xdr:oneCellAnchor>
    <xdr:from>
      <xdr:col>5</xdr:col>
      <xdr:colOff>381000</xdr:colOff>
      <xdr:row>10</xdr:row>
      <xdr:rowOff>19050</xdr:rowOff>
    </xdr:from>
    <xdr:ext cx="964688" cy="718466"/>
    <xdr:sp macro="" textlink="'PIVOT KPI '!A6">
      <xdr:nvSpPr>
        <xdr:cNvPr id="71" name="TextBox 70">
          <a:extLst>
            <a:ext uri="{FF2B5EF4-FFF2-40B4-BE49-F238E27FC236}">
              <a16:creationId xmlns:a16="http://schemas.microsoft.com/office/drawing/2014/main" id="{2F06FA2D-C444-4D88-BAFC-35EC800C1511}"/>
            </a:ext>
          </a:extLst>
        </xdr:cNvPr>
        <xdr:cNvSpPr txBox="1"/>
      </xdr:nvSpPr>
      <xdr:spPr>
        <a:xfrm>
          <a:off x="3429000" y="1924050"/>
          <a:ext cx="964688"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3BCDBCA-70E1-4098-AF14-404A126EF10C}" type="TxLink">
            <a:rPr lang="en-US" sz="4000" b="1" i="0" u="none" strike="noStrike">
              <a:solidFill>
                <a:schemeClr val="accent2">
                  <a:lumMod val="50000"/>
                </a:schemeClr>
              </a:solidFill>
              <a:latin typeface="Calibri"/>
              <a:cs typeface="Calibri"/>
            </a:rPr>
            <a:pPr/>
            <a:t>200</a:t>
          </a:fld>
          <a:endParaRPr lang="en-US" sz="4000" b="1">
            <a:solidFill>
              <a:schemeClr val="accent2">
                <a:lumMod val="50000"/>
              </a:schemeClr>
            </a:solidFill>
          </a:endParaRPr>
        </a:p>
      </xdr:txBody>
    </xdr:sp>
    <xdr:clientData/>
  </xdr:oneCellAnchor>
  <xdr:oneCellAnchor>
    <xdr:from>
      <xdr:col>9</xdr:col>
      <xdr:colOff>400050</xdr:colOff>
      <xdr:row>10</xdr:row>
      <xdr:rowOff>0</xdr:rowOff>
    </xdr:from>
    <xdr:ext cx="841705" cy="718466"/>
    <xdr:sp macro="" textlink="'PIVOT KPI '!C10">
      <xdr:nvSpPr>
        <xdr:cNvPr id="72" name="TextBox 71">
          <a:extLst>
            <a:ext uri="{FF2B5EF4-FFF2-40B4-BE49-F238E27FC236}">
              <a16:creationId xmlns:a16="http://schemas.microsoft.com/office/drawing/2014/main" id="{1FA61D20-EF79-478B-86E3-5F2B0FB8FFAC}"/>
            </a:ext>
          </a:extLst>
        </xdr:cNvPr>
        <xdr:cNvSpPr txBox="1"/>
      </xdr:nvSpPr>
      <xdr:spPr>
        <a:xfrm>
          <a:off x="5886450" y="1905000"/>
          <a:ext cx="841705"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9B0651A-A131-4878-9015-D185E658C5AD}" type="TxLink">
            <a:rPr lang="en-US" sz="4000" b="1" i="0" u="none" strike="noStrike">
              <a:solidFill>
                <a:schemeClr val="accent2">
                  <a:lumMod val="50000"/>
                </a:schemeClr>
              </a:solidFill>
              <a:latin typeface="Calibri"/>
              <a:cs typeface="Calibri"/>
            </a:rPr>
            <a:pPr/>
            <a:t>6.6</a:t>
          </a:fld>
          <a:endParaRPr lang="en-US" sz="4000" b="1">
            <a:solidFill>
              <a:schemeClr val="accent2">
                <a:lumMod val="50000"/>
              </a:schemeClr>
            </a:solidFill>
          </a:endParaRPr>
        </a:p>
      </xdr:txBody>
    </xdr:sp>
    <xdr:clientData/>
  </xdr:oneCellAnchor>
  <xdr:oneCellAnchor>
    <xdr:from>
      <xdr:col>13</xdr:col>
      <xdr:colOff>114300</xdr:colOff>
      <xdr:row>10</xdr:row>
      <xdr:rowOff>19050</xdr:rowOff>
    </xdr:from>
    <xdr:ext cx="1101712" cy="718466"/>
    <xdr:sp macro="" textlink="'PIVOT KPI '!C6">
      <xdr:nvSpPr>
        <xdr:cNvPr id="73" name="TextBox 72">
          <a:extLst>
            <a:ext uri="{FF2B5EF4-FFF2-40B4-BE49-F238E27FC236}">
              <a16:creationId xmlns:a16="http://schemas.microsoft.com/office/drawing/2014/main" id="{FD87DA86-337F-4526-BB9C-3E885CE052A5}"/>
            </a:ext>
          </a:extLst>
        </xdr:cNvPr>
        <xdr:cNvSpPr txBox="1"/>
      </xdr:nvSpPr>
      <xdr:spPr>
        <a:xfrm>
          <a:off x="8039100" y="1924050"/>
          <a:ext cx="1101712"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0D1B590-C20A-4D7E-8CED-0696866AA002}" type="TxLink">
            <a:rPr lang="en-US" sz="4000" b="1" i="0" u="none" strike="noStrike">
              <a:solidFill>
                <a:schemeClr val="accent2">
                  <a:lumMod val="50000"/>
                </a:schemeClr>
              </a:solidFill>
              <a:latin typeface="Calibri"/>
              <a:cs typeface="Calibri"/>
            </a:rPr>
            <a:pPr/>
            <a:t>44.7</a:t>
          </a:fld>
          <a:endParaRPr lang="en-US" sz="4000" b="1" i="0" u="none" strike="noStrike">
            <a:solidFill>
              <a:schemeClr val="accent2">
                <a:lumMod val="50000"/>
              </a:schemeClr>
            </a:solidFill>
            <a:latin typeface="Calibri"/>
            <a:cs typeface="Calibri"/>
          </a:endParaRPr>
        </a:p>
      </xdr:txBody>
    </xdr:sp>
    <xdr:clientData/>
  </xdr:oneCellAnchor>
  <xdr:oneCellAnchor>
    <xdr:from>
      <xdr:col>17</xdr:col>
      <xdr:colOff>285750</xdr:colOff>
      <xdr:row>10</xdr:row>
      <xdr:rowOff>38100</xdr:rowOff>
    </xdr:from>
    <xdr:ext cx="841705" cy="718466"/>
    <xdr:sp macro="" textlink="'PIVOT KPI '!B16">
      <xdr:nvSpPr>
        <xdr:cNvPr id="75" name="TextBox 74">
          <a:extLst>
            <a:ext uri="{FF2B5EF4-FFF2-40B4-BE49-F238E27FC236}">
              <a16:creationId xmlns:a16="http://schemas.microsoft.com/office/drawing/2014/main" id="{87D5053F-B7AA-46B5-B4E2-1549500DB1D9}"/>
            </a:ext>
          </a:extLst>
        </xdr:cNvPr>
        <xdr:cNvSpPr txBox="1"/>
      </xdr:nvSpPr>
      <xdr:spPr>
        <a:xfrm>
          <a:off x="10648950" y="1943100"/>
          <a:ext cx="841705"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AE3C685-C048-4B80-AEAF-4AFFEDB38D2F}" type="TxLink">
            <a:rPr lang="en-US" sz="4000" b="1" i="0" u="none" strike="noStrike">
              <a:solidFill>
                <a:schemeClr val="accent2">
                  <a:lumMod val="50000"/>
                </a:schemeClr>
              </a:solidFill>
              <a:latin typeface="Calibri"/>
              <a:cs typeface="Calibri"/>
            </a:rPr>
            <a:pPr/>
            <a:t>8.9</a:t>
          </a:fld>
          <a:endParaRPr lang="en-US" sz="4000" b="1" i="0" u="none" strike="noStrike">
            <a:solidFill>
              <a:schemeClr val="accent2">
                <a:lumMod val="50000"/>
              </a:schemeClr>
            </a:solidFill>
            <a:latin typeface="Calibri"/>
            <a:cs typeface="Calibri"/>
          </a:endParaRPr>
        </a:p>
      </xdr:txBody>
    </xdr:sp>
    <xdr:clientData/>
  </xdr:oneCellAnchor>
  <xdr:oneCellAnchor>
    <xdr:from>
      <xdr:col>20</xdr:col>
      <xdr:colOff>604838</xdr:colOff>
      <xdr:row>8</xdr:row>
      <xdr:rowOff>95250</xdr:rowOff>
    </xdr:from>
    <xdr:ext cx="1078629" cy="718466"/>
    <xdr:sp macro="" textlink="'PIVOT KPI '!A12">
      <xdr:nvSpPr>
        <xdr:cNvPr id="77" name="TextBox 76">
          <a:extLst>
            <a:ext uri="{FF2B5EF4-FFF2-40B4-BE49-F238E27FC236}">
              <a16:creationId xmlns:a16="http://schemas.microsoft.com/office/drawing/2014/main" id="{2578274F-B5FC-4BF0-BC3B-4478A102B01A}"/>
            </a:ext>
          </a:extLst>
        </xdr:cNvPr>
        <xdr:cNvSpPr txBox="1"/>
      </xdr:nvSpPr>
      <xdr:spPr>
        <a:xfrm>
          <a:off x="12987338" y="1619250"/>
          <a:ext cx="1078629"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87614DE-0473-46CF-8D99-2976AD948E5E}" type="TxLink">
            <a:rPr lang="en-US" sz="4000" b="1" i="0" u="none" strike="noStrike">
              <a:solidFill>
                <a:schemeClr val="accent2">
                  <a:lumMod val="50000"/>
                </a:schemeClr>
              </a:solidFill>
              <a:latin typeface="Calibri"/>
              <a:cs typeface="Calibri"/>
            </a:rPr>
            <a:pPr/>
            <a:t>51%</a:t>
          </a:fld>
          <a:endParaRPr lang="en-US" sz="4000" b="1" i="0" u="none" strike="noStrike">
            <a:solidFill>
              <a:schemeClr val="accent2">
                <a:lumMod val="50000"/>
              </a:schemeClr>
            </a:solidFill>
            <a:latin typeface="Calibri"/>
            <a:cs typeface="Calibri"/>
          </a:endParaRPr>
        </a:p>
      </xdr:txBody>
    </xdr:sp>
    <xdr:clientData/>
  </xdr:oneCellAnchor>
  <xdr:oneCellAnchor>
    <xdr:from>
      <xdr:col>24</xdr:col>
      <xdr:colOff>400050</xdr:colOff>
      <xdr:row>10</xdr:row>
      <xdr:rowOff>38100</xdr:rowOff>
    </xdr:from>
    <xdr:ext cx="1078629" cy="718466"/>
    <xdr:sp macro="" textlink="'PIVOT KPI '!A16">
      <xdr:nvSpPr>
        <xdr:cNvPr id="78" name="TextBox 77">
          <a:extLst>
            <a:ext uri="{FF2B5EF4-FFF2-40B4-BE49-F238E27FC236}">
              <a16:creationId xmlns:a16="http://schemas.microsoft.com/office/drawing/2014/main" id="{370C6B16-F20E-4E62-9C2D-447C620379C5}"/>
            </a:ext>
          </a:extLst>
        </xdr:cNvPr>
        <xdr:cNvSpPr txBox="1"/>
      </xdr:nvSpPr>
      <xdr:spPr>
        <a:xfrm>
          <a:off x="15030450" y="1943100"/>
          <a:ext cx="1078629"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FAE7A3F-044E-448A-8726-796A88EE2475}" type="TxLink">
            <a:rPr lang="en-US" sz="4000" b="1" i="0" u="none" strike="noStrike">
              <a:solidFill>
                <a:schemeClr val="accent2">
                  <a:lumMod val="50000"/>
                </a:schemeClr>
              </a:solidFill>
              <a:latin typeface="Calibri"/>
              <a:cs typeface="Calibri"/>
            </a:rPr>
            <a:pPr/>
            <a:t>23%</a:t>
          </a:fld>
          <a:endParaRPr lang="en-US" sz="4000" b="1" i="0" u="none" strike="noStrike">
            <a:solidFill>
              <a:schemeClr val="accent2">
                <a:lumMod val="50000"/>
              </a:schemeClr>
            </a:solidFill>
            <a:latin typeface="Calibri"/>
            <a:cs typeface="Calibri"/>
          </a:endParaRPr>
        </a:p>
      </xdr:txBody>
    </xdr:sp>
    <xdr:clientData/>
  </xdr:oneCellAnchor>
  <xdr:twoCellAnchor>
    <xdr:from>
      <xdr:col>15</xdr:col>
      <xdr:colOff>552450</xdr:colOff>
      <xdr:row>14</xdr:row>
      <xdr:rowOff>38102</xdr:rowOff>
    </xdr:from>
    <xdr:to>
      <xdr:col>27</xdr:col>
      <xdr:colOff>323850</xdr:colOff>
      <xdr:row>32</xdr:row>
      <xdr:rowOff>114302</xdr:rowOff>
    </xdr:to>
    <xdr:sp macro="" textlink="">
      <xdr:nvSpPr>
        <xdr:cNvPr id="80" name="Rectangle: Rounded Corners 79">
          <a:extLst>
            <a:ext uri="{FF2B5EF4-FFF2-40B4-BE49-F238E27FC236}">
              <a16:creationId xmlns:a16="http://schemas.microsoft.com/office/drawing/2014/main" id="{5DF62ED0-B0DB-4E8B-9388-6CD28369C451}"/>
            </a:ext>
          </a:extLst>
        </xdr:cNvPr>
        <xdr:cNvSpPr/>
      </xdr:nvSpPr>
      <xdr:spPr>
        <a:xfrm>
          <a:off x="9839325" y="2705102"/>
          <a:ext cx="7200900" cy="35052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133350</xdr:colOff>
      <xdr:row>14</xdr:row>
      <xdr:rowOff>47626</xdr:rowOff>
    </xdr:from>
    <xdr:to>
      <xdr:col>15</xdr:col>
      <xdr:colOff>342900</xdr:colOff>
      <xdr:row>32</xdr:row>
      <xdr:rowOff>123826</xdr:rowOff>
    </xdr:to>
    <xdr:sp macro="" textlink="">
      <xdr:nvSpPr>
        <xdr:cNvPr id="84" name="Rectangle: Rounded Corners 83">
          <a:extLst>
            <a:ext uri="{FF2B5EF4-FFF2-40B4-BE49-F238E27FC236}">
              <a16:creationId xmlns:a16="http://schemas.microsoft.com/office/drawing/2014/main" id="{1D1CAB37-67B4-4C2F-AAA2-27253EC66934}"/>
            </a:ext>
          </a:extLst>
        </xdr:cNvPr>
        <xdr:cNvSpPr/>
      </xdr:nvSpPr>
      <xdr:spPr>
        <a:xfrm>
          <a:off x="2609850" y="2714626"/>
          <a:ext cx="7019925" cy="35052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114300</xdr:colOff>
      <xdr:row>33</xdr:row>
      <xdr:rowOff>42864</xdr:rowOff>
    </xdr:from>
    <xdr:to>
      <xdr:col>15</xdr:col>
      <xdr:colOff>323850</xdr:colOff>
      <xdr:row>51</xdr:row>
      <xdr:rowOff>119064</xdr:rowOff>
    </xdr:to>
    <xdr:sp macro="" textlink="">
      <xdr:nvSpPr>
        <xdr:cNvPr id="85" name="Rectangle: Rounded Corners 84">
          <a:extLst>
            <a:ext uri="{FF2B5EF4-FFF2-40B4-BE49-F238E27FC236}">
              <a16:creationId xmlns:a16="http://schemas.microsoft.com/office/drawing/2014/main" id="{AE4AEC27-0FEE-4047-ACD3-47967F92F962}"/>
            </a:ext>
          </a:extLst>
        </xdr:cNvPr>
        <xdr:cNvSpPr/>
      </xdr:nvSpPr>
      <xdr:spPr>
        <a:xfrm>
          <a:off x="2590800" y="6329364"/>
          <a:ext cx="7019925" cy="35052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19050</xdr:colOff>
      <xdr:row>33</xdr:row>
      <xdr:rowOff>52390</xdr:rowOff>
    </xdr:from>
    <xdr:to>
      <xdr:col>27</xdr:col>
      <xdr:colOff>323850</xdr:colOff>
      <xdr:row>51</xdr:row>
      <xdr:rowOff>128590</xdr:rowOff>
    </xdr:to>
    <xdr:sp macro="" textlink="">
      <xdr:nvSpPr>
        <xdr:cNvPr id="86" name="Rectangle: Rounded Corners 85">
          <a:extLst>
            <a:ext uri="{FF2B5EF4-FFF2-40B4-BE49-F238E27FC236}">
              <a16:creationId xmlns:a16="http://schemas.microsoft.com/office/drawing/2014/main" id="{F813B7C8-A984-436D-AFB7-BDC97CFF624B}"/>
            </a:ext>
          </a:extLst>
        </xdr:cNvPr>
        <xdr:cNvSpPr/>
      </xdr:nvSpPr>
      <xdr:spPr>
        <a:xfrm>
          <a:off x="9925050" y="6338890"/>
          <a:ext cx="7115175" cy="35052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114300</xdr:colOff>
      <xdr:row>52</xdr:row>
      <xdr:rowOff>76202</xdr:rowOff>
    </xdr:from>
    <xdr:to>
      <xdr:col>15</xdr:col>
      <xdr:colOff>323850</xdr:colOff>
      <xdr:row>70</xdr:row>
      <xdr:rowOff>152402</xdr:rowOff>
    </xdr:to>
    <xdr:sp macro="" textlink="">
      <xdr:nvSpPr>
        <xdr:cNvPr id="87" name="Rectangle: Rounded Corners 86">
          <a:extLst>
            <a:ext uri="{FF2B5EF4-FFF2-40B4-BE49-F238E27FC236}">
              <a16:creationId xmlns:a16="http://schemas.microsoft.com/office/drawing/2014/main" id="{525B43FB-7022-4BF4-BB92-C2BCEC8860BC}"/>
            </a:ext>
          </a:extLst>
        </xdr:cNvPr>
        <xdr:cNvSpPr/>
      </xdr:nvSpPr>
      <xdr:spPr>
        <a:xfrm>
          <a:off x="2590800" y="9982202"/>
          <a:ext cx="7019925" cy="35052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552450</xdr:colOff>
      <xdr:row>52</xdr:row>
      <xdr:rowOff>33340</xdr:rowOff>
    </xdr:from>
    <xdr:to>
      <xdr:col>27</xdr:col>
      <xdr:colOff>323850</xdr:colOff>
      <xdr:row>70</xdr:row>
      <xdr:rowOff>109540</xdr:rowOff>
    </xdr:to>
    <xdr:sp macro="" textlink="">
      <xdr:nvSpPr>
        <xdr:cNvPr id="89" name="Rectangle: Rounded Corners 88">
          <a:extLst>
            <a:ext uri="{FF2B5EF4-FFF2-40B4-BE49-F238E27FC236}">
              <a16:creationId xmlns:a16="http://schemas.microsoft.com/office/drawing/2014/main" id="{E63C7C3F-3CB4-4AC0-ACBE-00A86E324CA1}"/>
            </a:ext>
          </a:extLst>
        </xdr:cNvPr>
        <xdr:cNvSpPr/>
      </xdr:nvSpPr>
      <xdr:spPr>
        <a:xfrm>
          <a:off x="9839325" y="9939340"/>
          <a:ext cx="7200900" cy="35052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285750</xdr:colOff>
      <xdr:row>16</xdr:row>
      <xdr:rowOff>133350</xdr:rowOff>
    </xdr:from>
    <xdr:to>
      <xdr:col>15</xdr:col>
      <xdr:colOff>190500</xdr:colOff>
      <xdr:row>32</xdr:row>
      <xdr:rowOff>57150</xdr:rowOff>
    </xdr:to>
    <xdr:graphicFrame macro="">
      <xdr:nvGraphicFramePr>
        <xdr:cNvPr id="90" name="Chart 89">
          <a:extLst>
            <a:ext uri="{FF2B5EF4-FFF2-40B4-BE49-F238E27FC236}">
              <a16:creationId xmlns:a16="http://schemas.microsoft.com/office/drawing/2014/main" id="{E9B86835-A78E-4995-868C-508910AFA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247650</xdr:colOff>
      <xdr:row>16</xdr:row>
      <xdr:rowOff>104776</xdr:rowOff>
    </xdr:from>
    <xdr:to>
      <xdr:col>27</xdr:col>
      <xdr:colOff>71437</xdr:colOff>
      <xdr:row>32</xdr:row>
      <xdr:rowOff>0</xdr:rowOff>
    </xdr:to>
    <xdr:graphicFrame macro="">
      <xdr:nvGraphicFramePr>
        <xdr:cNvPr id="91" name="Chart 90">
          <a:extLst>
            <a:ext uri="{FF2B5EF4-FFF2-40B4-BE49-F238E27FC236}">
              <a16:creationId xmlns:a16="http://schemas.microsoft.com/office/drawing/2014/main" id="{9F9A1828-FAA7-4EF2-AE84-B61BE4705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419100</xdr:colOff>
      <xdr:row>37</xdr:row>
      <xdr:rowOff>4764</xdr:rowOff>
    </xdr:from>
    <xdr:to>
      <xdr:col>15</xdr:col>
      <xdr:colOff>95250</xdr:colOff>
      <xdr:row>50</xdr:row>
      <xdr:rowOff>138114</xdr:rowOff>
    </xdr:to>
    <xdr:graphicFrame macro="">
      <xdr:nvGraphicFramePr>
        <xdr:cNvPr id="92" name="Chart 91">
          <a:extLst>
            <a:ext uri="{FF2B5EF4-FFF2-40B4-BE49-F238E27FC236}">
              <a16:creationId xmlns:a16="http://schemas.microsoft.com/office/drawing/2014/main" id="{788F2885-0918-48E9-80B7-B2155C699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476249</xdr:colOff>
      <xdr:row>34</xdr:row>
      <xdr:rowOff>152400</xdr:rowOff>
    </xdr:from>
    <xdr:to>
      <xdr:col>27</xdr:col>
      <xdr:colOff>-1</xdr:colOff>
      <xdr:row>51</xdr:row>
      <xdr:rowOff>38100</xdr:rowOff>
    </xdr:to>
    <xdr:graphicFrame macro="">
      <xdr:nvGraphicFramePr>
        <xdr:cNvPr id="93" name="Chart 92">
          <a:extLst>
            <a:ext uri="{FF2B5EF4-FFF2-40B4-BE49-F238E27FC236}">
              <a16:creationId xmlns:a16="http://schemas.microsoft.com/office/drawing/2014/main" id="{D78BF9A3-65B9-44FA-94C2-46DDD2A94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247650</xdr:colOff>
      <xdr:row>56</xdr:row>
      <xdr:rowOff>0</xdr:rowOff>
    </xdr:from>
    <xdr:to>
      <xdr:col>15</xdr:col>
      <xdr:colOff>152400</xdr:colOff>
      <xdr:row>69</xdr:row>
      <xdr:rowOff>128587</xdr:rowOff>
    </xdr:to>
    <xdr:graphicFrame macro="">
      <xdr:nvGraphicFramePr>
        <xdr:cNvPr id="94" name="Chart 93">
          <a:extLst>
            <a:ext uri="{FF2B5EF4-FFF2-40B4-BE49-F238E27FC236}">
              <a16:creationId xmlns:a16="http://schemas.microsoft.com/office/drawing/2014/main" id="{9B9BC41C-69DF-4878-946B-99CA46D20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mc:AlternateContent xmlns:mc="http://schemas.openxmlformats.org/markup-compatibility/2006">
    <mc:Choice xmlns:a14="http://schemas.microsoft.com/office/drawing/2010/main" Requires="a14">
      <xdr:twoCellAnchor editAs="oneCell">
        <xdr:from>
          <xdr:col>16</xdr:col>
          <xdr:colOff>152400</xdr:colOff>
          <xdr:row>55</xdr:row>
          <xdr:rowOff>28576</xdr:rowOff>
        </xdr:from>
        <xdr:to>
          <xdr:col>27</xdr:col>
          <xdr:colOff>171450</xdr:colOff>
          <xdr:row>69</xdr:row>
          <xdr:rowOff>153907</xdr:rowOff>
        </xdr:to>
        <xdr:pic>
          <xdr:nvPicPr>
            <xdr:cNvPr id="103" name="Picture 102">
              <a:extLst>
                <a:ext uri="{FF2B5EF4-FFF2-40B4-BE49-F238E27FC236}">
                  <a16:creationId xmlns:a16="http://schemas.microsoft.com/office/drawing/2014/main" id="{62AF5FF4-4535-4ABB-BB0F-925456CCD9EF}"/>
                </a:ext>
              </a:extLst>
            </xdr:cNvPr>
            <xdr:cNvPicPr>
              <a:picLocks noChangeAspect="1" noChangeArrowheads="1"/>
              <a:extLst>
                <a:ext uri="{84589F7E-364E-4C9E-8A38-B11213B215E9}">
                  <a14:cameraTool cellRange="OVERVIEW!$A$32:$F$38" spid="_x0000_s2079"/>
                </a:ext>
              </a:extLst>
            </xdr:cNvPicPr>
          </xdr:nvPicPr>
          <xdr:blipFill>
            <a:blip xmlns:r="http://schemas.openxmlformats.org/officeDocument/2006/relationships" r:embed="rId20"/>
            <a:srcRect/>
            <a:stretch>
              <a:fillRect/>
            </a:stretch>
          </xdr:blipFill>
          <xdr:spPr bwMode="auto">
            <a:xfrm>
              <a:off x="10058400" y="10506076"/>
              <a:ext cx="6829425" cy="2792331"/>
            </a:xfrm>
            <a:prstGeom prst="rect">
              <a:avLst/>
            </a:prstGeom>
            <a:noFill/>
            <a:ln w="9525">
              <a:noFill/>
              <a:miter lim="800000"/>
              <a:headEnd/>
              <a:tailEnd/>
            </a:ln>
          </xdr:spPr>
        </xdr:pic>
        <xdr:clientData/>
      </xdr:twoCellAnchor>
    </mc:Choice>
    <mc:Fallback/>
  </mc:AlternateContent>
  <xdr:oneCellAnchor>
    <xdr:from>
      <xdr:col>7</xdr:col>
      <xdr:colOff>285750</xdr:colOff>
      <xdr:row>15</xdr:row>
      <xdr:rowOff>38100</xdr:rowOff>
    </xdr:from>
    <xdr:ext cx="3087127" cy="405432"/>
    <xdr:sp macro="" textlink="">
      <xdr:nvSpPr>
        <xdr:cNvPr id="104" name="TextBox 103">
          <a:extLst>
            <a:ext uri="{FF2B5EF4-FFF2-40B4-BE49-F238E27FC236}">
              <a16:creationId xmlns:a16="http://schemas.microsoft.com/office/drawing/2014/main" id="{F0819A69-4B2E-49F3-9E03-FAB7615EC885}"/>
            </a:ext>
          </a:extLst>
        </xdr:cNvPr>
        <xdr:cNvSpPr txBox="1"/>
      </xdr:nvSpPr>
      <xdr:spPr>
        <a:xfrm>
          <a:off x="4552950" y="2895600"/>
          <a:ext cx="308712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2">
                  <a:lumMod val="50000"/>
                </a:schemeClr>
              </a:solidFill>
            </a:rPr>
            <a:t>DAILY AVG. DELIVERY TIME</a:t>
          </a:r>
        </a:p>
      </xdr:txBody>
    </xdr:sp>
    <xdr:clientData/>
  </xdr:oneCellAnchor>
  <xdr:oneCellAnchor>
    <xdr:from>
      <xdr:col>18</xdr:col>
      <xdr:colOff>419100</xdr:colOff>
      <xdr:row>15</xdr:row>
      <xdr:rowOff>76200</xdr:rowOff>
    </xdr:from>
    <xdr:ext cx="3741024" cy="405432"/>
    <xdr:sp macro="" textlink="">
      <xdr:nvSpPr>
        <xdr:cNvPr id="105" name="TextBox 104">
          <a:extLst>
            <a:ext uri="{FF2B5EF4-FFF2-40B4-BE49-F238E27FC236}">
              <a16:creationId xmlns:a16="http://schemas.microsoft.com/office/drawing/2014/main" id="{C72129DD-B9D4-44F1-AE98-D01008E7CC99}"/>
            </a:ext>
          </a:extLst>
        </xdr:cNvPr>
        <xdr:cNvSpPr txBox="1"/>
      </xdr:nvSpPr>
      <xdr:spPr>
        <a:xfrm>
          <a:off x="11391900" y="2933700"/>
          <a:ext cx="374102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2">
                  <a:lumMod val="50000"/>
                </a:schemeClr>
              </a:solidFill>
            </a:rPr>
            <a:t>DELIVERY TIME BY</a:t>
          </a:r>
          <a:r>
            <a:rPr lang="en-US" sz="2000" b="1" baseline="0">
              <a:solidFill>
                <a:schemeClr val="accent2">
                  <a:lumMod val="50000"/>
                </a:schemeClr>
              </a:solidFill>
            </a:rPr>
            <a:t> TRAFFIC LEVEL</a:t>
          </a:r>
          <a:endParaRPr lang="en-US" sz="2000" b="1">
            <a:solidFill>
              <a:schemeClr val="accent2">
                <a:lumMod val="50000"/>
              </a:schemeClr>
            </a:solidFill>
          </a:endParaRPr>
        </a:p>
      </xdr:txBody>
    </xdr:sp>
    <xdr:clientData/>
  </xdr:oneCellAnchor>
  <xdr:oneCellAnchor>
    <xdr:from>
      <xdr:col>7</xdr:col>
      <xdr:colOff>0</xdr:colOff>
      <xdr:row>34</xdr:row>
      <xdr:rowOff>114300</xdr:rowOff>
    </xdr:from>
    <xdr:ext cx="3074175" cy="405432"/>
    <xdr:sp macro="" textlink="">
      <xdr:nvSpPr>
        <xdr:cNvPr id="106" name="TextBox 105">
          <a:extLst>
            <a:ext uri="{FF2B5EF4-FFF2-40B4-BE49-F238E27FC236}">
              <a16:creationId xmlns:a16="http://schemas.microsoft.com/office/drawing/2014/main" id="{01C949FA-AF2B-45B6-8261-E3C27ABB9116}"/>
            </a:ext>
          </a:extLst>
        </xdr:cNvPr>
        <xdr:cNvSpPr txBox="1"/>
      </xdr:nvSpPr>
      <xdr:spPr>
        <a:xfrm>
          <a:off x="4267200" y="6591300"/>
          <a:ext cx="30741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2">
                  <a:lumMod val="50000"/>
                </a:schemeClr>
              </a:solidFill>
            </a:rPr>
            <a:t>DELIVERY TIME BY</a:t>
          </a:r>
          <a:r>
            <a:rPr lang="en-US" sz="2000" b="1" baseline="0">
              <a:solidFill>
                <a:schemeClr val="accent2">
                  <a:lumMod val="50000"/>
                </a:schemeClr>
              </a:solidFill>
            </a:rPr>
            <a:t> VEHICLE</a:t>
          </a:r>
          <a:endParaRPr lang="en-US" sz="2000" b="1">
            <a:solidFill>
              <a:schemeClr val="accent2">
                <a:lumMod val="50000"/>
              </a:schemeClr>
            </a:solidFill>
          </a:endParaRPr>
        </a:p>
      </xdr:txBody>
    </xdr:sp>
    <xdr:clientData/>
  </xdr:oneCellAnchor>
  <xdr:oneCellAnchor>
    <xdr:from>
      <xdr:col>19</xdr:col>
      <xdr:colOff>228600</xdr:colOff>
      <xdr:row>34</xdr:row>
      <xdr:rowOff>95250</xdr:rowOff>
    </xdr:from>
    <xdr:ext cx="3333750" cy="405432"/>
    <xdr:sp macro="" textlink="">
      <xdr:nvSpPr>
        <xdr:cNvPr id="107" name="TextBox 106">
          <a:extLst>
            <a:ext uri="{FF2B5EF4-FFF2-40B4-BE49-F238E27FC236}">
              <a16:creationId xmlns:a16="http://schemas.microsoft.com/office/drawing/2014/main" id="{84FFBF90-CBDB-484C-B900-5A541B6D5C9C}"/>
            </a:ext>
          </a:extLst>
        </xdr:cNvPr>
        <xdr:cNvSpPr txBox="1"/>
      </xdr:nvSpPr>
      <xdr:spPr>
        <a:xfrm>
          <a:off x="11811000" y="6572250"/>
          <a:ext cx="33337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accent2">
                  <a:lumMod val="50000"/>
                </a:schemeClr>
              </a:solidFill>
            </a:rPr>
            <a:t>DELIVERY TIME BY</a:t>
          </a:r>
          <a:r>
            <a:rPr lang="en-US" sz="2000" b="1" baseline="0">
              <a:solidFill>
                <a:schemeClr val="accent2">
                  <a:lumMod val="50000"/>
                </a:schemeClr>
              </a:solidFill>
            </a:rPr>
            <a:t> DISTANCE</a:t>
          </a:r>
          <a:endParaRPr lang="en-US" sz="2000" b="1">
            <a:solidFill>
              <a:schemeClr val="accent2">
                <a:lumMod val="50000"/>
              </a:schemeClr>
            </a:solidFill>
          </a:endParaRPr>
        </a:p>
      </xdr:txBody>
    </xdr:sp>
    <xdr:clientData/>
  </xdr:oneCellAnchor>
  <xdr:oneCellAnchor>
    <xdr:from>
      <xdr:col>7</xdr:col>
      <xdr:colOff>209550</xdr:colOff>
      <xdr:row>53</xdr:row>
      <xdr:rowOff>57150</xdr:rowOff>
    </xdr:from>
    <xdr:ext cx="3333750" cy="405432"/>
    <xdr:sp macro="" textlink="">
      <xdr:nvSpPr>
        <xdr:cNvPr id="108" name="TextBox 107">
          <a:extLst>
            <a:ext uri="{FF2B5EF4-FFF2-40B4-BE49-F238E27FC236}">
              <a16:creationId xmlns:a16="http://schemas.microsoft.com/office/drawing/2014/main" id="{258C2749-3F51-4496-B1FA-CA8D6F815159}"/>
            </a:ext>
          </a:extLst>
        </xdr:cNvPr>
        <xdr:cNvSpPr txBox="1"/>
      </xdr:nvSpPr>
      <xdr:spPr>
        <a:xfrm>
          <a:off x="4476750" y="10153650"/>
          <a:ext cx="33337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accent2">
                  <a:lumMod val="50000"/>
                </a:schemeClr>
              </a:solidFill>
            </a:rPr>
            <a:t>ORDERS BY HOUR OF DAY</a:t>
          </a:r>
        </a:p>
      </xdr:txBody>
    </xdr:sp>
    <xdr:clientData/>
  </xdr:oneCellAnchor>
  <xdr:oneCellAnchor>
    <xdr:from>
      <xdr:col>19</xdr:col>
      <xdr:colOff>271462</xdr:colOff>
      <xdr:row>52</xdr:row>
      <xdr:rowOff>157163</xdr:rowOff>
    </xdr:from>
    <xdr:ext cx="3219450" cy="405432"/>
    <xdr:sp macro="" textlink="">
      <xdr:nvSpPr>
        <xdr:cNvPr id="109" name="TextBox 108">
          <a:extLst>
            <a:ext uri="{FF2B5EF4-FFF2-40B4-BE49-F238E27FC236}">
              <a16:creationId xmlns:a16="http://schemas.microsoft.com/office/drawing/2014/main" id="{C3FD41D9-9A30-4FB5-ABB9-5FDE2B56BD83}"/>
            </a:ext>
          </a:extLst>
        </xdr:cNvPr>
        <xdr:cNvSpPr txBox="1"/>
      </xdr:nvSpPr>
      <xdr:spPr>
        <a:xfrm>
          <a:off x="12034837" y="10063163"/>
          <a:ext cx="32194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accent2">
                  <a:lumMod val="50000"/>
                </a:schemeClr>
              </a:solidFill>
            </a:rPr>
            <a:t>DELIVERY</a:t>
          </a:r>
          <a:r>
            <a:rPr lang="en-US" sz="2000" b="1" baseline="0">
              <a:solidFill>
                <a:schemeClr val="accent2">
                  <a:lumMod val="50000"/>
                </a:schemeClr>
              </a:solidFill>
            </a:rPr>
            <a:t> TIME BY ZONE</a:t>
          </a:r>
          <a:endParaRPr lang="en-US" sz="2000" b="1">
            <a:solidFill>
              <a:schemeClr val="accent2">
                <a:lumMod val="50000"/>
              </a:schemeClr>
            </a:solidFill>
          </a:endParaRPr>
        </a:p>
      </xdr:txBody>
    </xdr:sp>
    <xdr:clientData/>
  </xdr:oneCellAnchor>
  <xdr:twoCellAnchor>
    <xdr:from>
      <xdr:col>0</xdr:col>
      <xdr:colOff>514350</xdr:colOff>
      <xdr:row>6</xdr:row>
      <xdr:rowOff>57150</xdr:rowOff>
    </xdr:from>
    <xdr:to>
      <xdr:col>4</xdr:col>
      <xdr:colOff>114300</xdr:colOff>
      <xdr:row>9</xdr:row>
      <xdr:rowOff>95250</xdr:rowOff>
    </xdr:to>
    <xdr:sp macro="" textlink="">
      <xdr:nvSpPr>
        <xdr:cNvPr id="110" name="Rectangle: Rounded Corners 109">
          <a:hlinkClick xmlns:r="http://schemas.openxmlformats.org/officeDocument/2006/relationships" r:id="rId21"/>
          <a:extLst>
            <a:ext uri="{FF2B5EF4-FFF2-40B4-BE49-F238E27FC236}">
              <a16:creationId xmlns:a16="http://schemas.microsoft.com/office/drawing/2014/main" id="{7F4ED04B-4D07-4428-9145-74F8713D232C}"/>
            </a:ext>
          </a:extLst>
        </xdr:cNvPr>
        <xdr:cNvSpPr/>
      </xdr:nvSpPr>
      <xdr:spPr>
        <a:xfrm>
          <a:off x="514350" y="1200150"/>
          <a:ext cx="2038350" cy="6096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000" b="1">
              <a:solidFill>
                <a:schemeClr val="accent2">
                  <a:lumMod val="50000"/>
                </a:schemeClr>
              </a:solidFill>
            </a:rPr>
            <a:t>OVERVIEW</a:t>
          </a:r>
        </a:p>
      </xdr:txBody>
    </xdr:sp>
    <xdr:clientData/>
  </xdr:twoCellAnchor>
  <xdr:twoCellAnchor>
    <xdr:from>
      <xdr:col>0</xdr:col>
      <xdr:colOff>495300</xdr:colOff>
      <xdr:row>10</xdr:row>
      <xdr:rowOff>19050</xdr:rowOff>
    </xdr:from>
    <xdr:to>
      <xdr:col>4</xdr:col>
      <xdr:colOff>114300</xdr:colOff>
      <xdr:row>13</xdr:row>
      <xdr:rowOff>57150</xdr:rowOff>
    </xdr:to>
    <xdr:sp macro="" textlink="">
      <xdr:nvSpPr>
        <xdr:cNvPr id="111" name="Rectangle: Rounded Corners 110">
          <a:hlinkClick xmlns:r="http://schemas.openxmlformats.org/officeDocument/2006/relationships" r:id="rId22"/>
          <a:extLst>
            <a:ext uri="{FF2B5EF4-FFF2-40B4-BE49-F238E27FC236}">
              <a16:creationId xmlns:a16="http://schemas.microsoft.com/office/drawing/2014/main" id="{51571261-0321-44AE-9438-8A4BC6856857}"/>
            </a:ext>
          </a:extLst>
        </xdr:cNvPr>
        <xdr:cNvSpPr/>
      </xdr:nvSpPr>
      <xdr:spPr>
        <a:xfrm>
          <a:off x="495300" y="1924050"/>
          <a:ext cx="2057400" cy="6096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000" b="1">
              <a:solidFill>
                <a:schemeClr val="accent2">
                  <a:lumMod val="50000"/>
                </a:schemeClr>
              </a:solidFill>
            </a:rPr>
            <a:t>DRIVERS</a:t>
          </a:r>
        </a:p>
      </xdr:txBody>
    </xdr:sp>
    <xdr:clientData/>
  </xdr:twoCellAnchor>
  <xdr:oneCellAnchor>
    <xdr:from>
      <xdr:col>19</xdr:col>
      <xdr:colOff>471487</xdr:colOff>
      <xdr:row>11</xdr:row>
      <xdr:rowOff>176212</xdr:rowOff>
    </xdr:from>
    <xdr:ext cx="3910012" cy="327141"/>
    <xdr:sp macro="" textlink="'PIVOT KPI '!A12">
      <xdr:nvSpPr>
        <xdr:cNvPr id="113" name="TextBox 112">
          <a:extLst>
            <a:ext uri="{FF2B5EF4-FFF2-40B4-BE49-F238E27FC236}">
              <a16:creationId xmlns:a16="http://schemas.microsoft.com/office/drawing/2014/main" id="{7950DDC7-7653-44BE-B0C3-5BB04C2F3410}"/>
            </a:ext>
          </a:extLst>
        </xdr:cNvPr>
        <xdr:cNvSpPr txBox="1"/>
      </xdr:nvSpPr>
      <xdr:spPr>
        <a:xfrm>
          <a:off x="12234862" y="2271712"/>
          <a:ext cx="3910012"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i="0" u="none" strike="noStrike">
              <a:solidFill>
                <a:schemeClr val="accent2">
                  <a:lumMod val="50000"/>
                </a:schemeClr>
              </a:solidFill>
              <a:latin typeface="Calibri"/>
              <a:cs typeface="Calibri"/>
            </a:rPr>
            <a:t>"On-time</a:t>
          </a:r>
          <a:r>
            <a:rPr lang="en-US" sz="1500" b="1" i="0" u="none" strike="noStrike" baseline="0">
              <a:solidFill>
                <a:schemeClr val="accent2">
                  <a:lumMod val="50000"/>
                </a:schemeClr>
              </a:solidFill>
              <a:latin typeface="Calibri"/>
              <a:cs typeface="Calibri"/>
            </a:rPr>
            <a:t> target: 45 min"</a:t>
          </a:r>
          <a:endParaRPr lang="en-US" sz="1500" b="1" i="0" u="none" strike="noStrike">
            <a:solidFill>
              <a:schemeClr val="accent2">
                <a:lumMod val="50000"/>
              </a:schemeClr>
            </a:solidFill>
            <a:latin typeface="Calibri"/>
            <a:cs typeface="Calibri"/>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38100</xdr:rowOff>
    </xdr:from>
    <xdr:to>
      <xdr:col>27</xdr:col>
      <xdr:colOff>571500</xdr:colOff>
      <xdr:row>72</xdr:row>
      <xdr:rowOff>133350</xdr:rowOff>
    </xdr:to>
    <xdr:sp macro="" textlink="">
      <xdr:nvSpPr>
        <xdr:cNvPr id="48" name="Rectangle 47">
          <a:extLst>
            <a:ext uri="{FF2B5EF4-FFF2-40B4-BE49-F238E27FC236}">
              <a16:creationId xmlns:a16="http://schemas.microsoft.com/office/drawing/2014/main" id="{BDAE9D04-B594-45C1-B449-83AA81928EF0}"/>
            </a:ext>
          </a:extLst>
        </xdr:cNvPr>
        <xdr:cNvSpPr/>
      </xdr:nvSpPr>
      <xdr:spPr>
        <a:xfrm>
          <a:off x="19050" y="38100"/>
          <a:ext cx="17268825" cy="13811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556654</xdr:colOff>
      <xdr:row>0</xdr:row>
      <xdr:rowOff>185551</xdr:rowOff>
    </xdr:from>
    <xdr:to>
      <xdr:col>27</xdr:col>
      <xdr:colOff>190500</xdr:colOff>
      <xdr:row>5</xdr:row>
      <xdr:rowOff>25399</xdr:rowOff>
    </xdr:to>
    <xdr:sp macro="" textlink="">
      <xdr:nvSpPr>
        <xdr:cNvPr id="2" name="Rectangle: Rounded Corners 1">
          <a:extLst>
            <a:ext uri="{FF2B5EF4-FFF2-40B4-BE49-F238E27FC236}">
              <a16:creationId xmlns:a16="http://schemas.microsoft.com/office/drawing/2014/main" id="{FE8EEBD4-913E-4E79-8923-928F8AC6D527}"/>
            </a:ext>
          </a:extLst>
        </xdr:cNvPr>
        <xdr:cNvSpPr/>
      </xdr:nvSpPr>
      <xdr:spPr>
        <a:xfrm>
          <a:off x="556654" y="185551"/>
          <a:ext cx="16350221" cy="792348"/>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90301</xdr:colOff>
      <xdr:row>1</xdr:row>
      <xdr:rowOff>18863</xdr:rowOff>
    </xdr:from>
    <xdr:to>
      <xdr:col>2</xdr:col>
      <xdr:colOff>246164</xdr:colOff>
      <xdr:row>5</xdr:row>
      <xdr:rowOff>43603</xdr:rowOff>
    </xdr:to>
    <xdr:pic>
      <xdr:nvPicPr>
        <xdr:cNvPr id="3" name="Graphic 2" descr="Fork and knife with solid fill">
          <a:extLst>
            <a:ext uri="{FF2B5EF4-FFF2-40B4-BE49-F238E27FC236}">
              <a16:creationId xmlns:a16="http://schemas.microsoft.com/office/drawing/2014/main" id="{0E7F6A31-BE94-4839-B656-9D3AB45B9D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09426" y="209363"/>
          <a:ext cx="774988" cy="786740"/>
        </a:xfrm>
        <a:prstGeom prst="rect">
          <a:avLst/>
        </a:prstGeom>
      </xdr:spPr>
    </xdr:pic>
    <xdr:clientData/>
  </xdr:twoCellAnchor>
  <xdr:oneCellAnchor>
    <xdr:from>
      <xdr:col>5</xdr:col>
      <xdr:colOff>357189</xdr:colOff>
      <xdr:row>1</xdr:row>
      <xdr:rowOff>134216</xdr:rowOff>
    </xdr:from>
    <xdr:ext cx="9644062" cy="655616"/>
    <xdr:sp macro="" textlink="">
      <xdr:nvSpPr>
        <xdr:cNvPr id="4" name="TextBox 3">
          <a:extLst>
            <a:ext uri="{FF2B5EF4-FFF2-40B4-BE49-F238E27FC236}">
              <a16:creationId xmlns:a16="http://schemas.microsoft.com/office/drawing/2014/main" id="{6104D6DE-E2DB-4600-8DD1-B2EC98DCC2D9}"/>
            </a:ext>
          </a:extLst>
        </xdr:cNvPr>
        <xdr:cNvSpPr txBox="1"/>
      </xdr:nvSpPr>
      <xdr:spPr>
        <a:xfrm>
          <a:off x="3452814" y="324716"/>
          <a:ext cx="9644062" cy="6556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000" b="1">
              <a:solidFill>
                <a:schemeClr val="accent1">
                  <a:lumMod val="50000"/>
                </a:schemeClr>
              </a:solidFill>
            </a:rPr>
            <a:t>           FOOD DELIVERY ROUTE</a:t>
          </a:r>
          <a:r>
            <a:rPr lang="en-US" sz="3000" b="1" baseline="0">
              <a:solidFill>
                <a:schemeClr val="accent1">
                  <a:lumMod val="50000"/>
                </a:schemeClr>
              </a:solidFill>
            </a:rPr>
            <a:t> EFFICIENCY</a:t>
          </a:r>
          <a:r>
            <a:rPr lang="en-US" sz="3000" b="1">
              <a:solidFill>
                <a:schemeClr val="accent1">
                  <a:lumMod val="50000"/>
                </a:schemeClr>
              </a:solidFill>
            </a:rPr>
            <a:t> DASHBOARD</a:t>
          </a:r>
        </a:p>
      </xdr:txBody>
    </xdr:sp>
    <xdr:clientData/>
  </xdr:oneCellAnchor>
  <xdr:twoCellAnchor>
    <xdr:from>
      <xdr:col>4</xdr:col>
      <xdr:colOff>266700</xdr:colOff>
      <xdr:row>6</xdr:row>
      <xdr:rowOff>0</xdr:rowOff>
    </xdr:from>
    <xdr:to>
      <xdr:col>9</xdr:col>
      <xdr:colOff>381000</xdr:colOff>
      <xdr:row>14</xdr:row>
      <xdr:rowOff>0</xdr:rowOff>
    </xdr:to>
    <xdr:sp macro="" textlink="">
      <xdr:nvSpPr>
        <xdr:cNvPr id="6" name="Rectangle: Rounded Corners 5">
          <a:extLst>
            <a:ext uri="{FF2B5EF4-FFF2-40B4-BE49-F238E27FC236}">
              <a16:creationId xmlns:a16="http://schemas.microsoft.com/office/drawing/2014/main" id="{FC659AA8-96A0-48C8-A7AE-18C7184A7A48}"/>
            </a:ext>
          </a:extLst>
        </xdr:cNvPr>
        <xdr:cNvSpPr/>
      </xdr:nvSpPr>
      <xdr:spPr>
        <a:xfrm>
          <a:off x="2705100" y="1143000"/>
          <a:ext cx="3162300" cy="15240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342900</xdr:colOff>
      <xdr:row>8</xdr:row>
      <xdr:rowOff>57150</xdr:rowOff>
    </xdr:from>
    <xdr:to>
      <xdr:col>5</xdr:col>
      <xdr:colOff>323850</xdr:colOff>
      <xdr:row>11</xdr:row>
      <xdr:rowOff>76200</xdr:rowOff>
    </xdr:to>
    <xdr:pic>
      <xdr:nvPicPr>
        <xdr:cNvPr id="7" name="Graphic 6" descr="Shopping cart with solid fill">
          <a:extLst>
            <a:ext uri="{FF2B5EF4-FFF2-40B4-BE49-F238E27FC236}">
              <a16:creationId xmlns:a16="http://schemas.microsoft.com/office/drawing/2014/main" id="{DC7E1628-1DBD-4B7F-818D-742423D98F5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81300" y="1581150"/>
          <a:ext cx="590550" cy="590550"/>
        </a:xfrm>
        <a:prstGeom prst="rect">
          <a:avLst/>
        </a:prstGeom>
      </xdr:spPr>
    </xdr:pic>
    <xdr:clientData/>
  </xdr:twoCellAnchor>
  <xdr:oneCellAnchor>
    <xdr:from>
      <xdr:col>5</xdr:col>
      <xdr:colOff>57150</xdr:colOff>
      <xdr:row>6</xdr:row>
      <xdr:rowOff>171450</xdr:rowOff>
    </xdr:from>
    <xdr:ext cx="2590800" cy="819150"/>
    <xdr:sp macro="" textlink="">
      <xdr:nvSpPr>
        <xdr:cNvPr id="8" name="TextBox 7">
          <a:extLst>
            <a:ext uri="{FF2B5EF4-FFF2-40B4-BE49-F238E27FC236}">
              <a16:creationId xmlns:a16="http://schemas.microsoft.com/office/drawing/2014/main" id="{A32BFA2D-6294-487E-8213-47EEABB239FF}"/>
            </a:ext>
          </a:extLst>
        </xdr:cNvPr>
        <xdr:cNvSpPr txBox="1"/>
      </xdr:nvSpPr>
      <xdr:spPr>
        <a:xfrm>
          <a:off x="3105150" y="1314450"/>
          <a:ext cx="2590800" cy="819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500" b="1">
              <a:solidFill>
                <a:schemeClr val="accent2">
                  <a:lumMod val="50000"/>
                </a:schemeClr>
              </a:solidFill>
              <a:latin typeface="+mn-lt"/>
            </a:rPr>
            <a:t>TOTAL</a:t>
          </a:r>
          <a:r>
            <a:rPr lang="en-US" sz="2500" b="1" baseline="0">
              <a:solidFill>
                <a:schemeClr val="accent2">
                  <a:lumMod val="50000"/>
                </a:schemeClr>
              </a:solidFill>
              <a:latin typeface="+mn-lt"/>
            </a:rPr>
            <a:t> </a:t>
          </a:r>
          <a:r>
            <a:rPr lang="en-US" sz="2500" b="1">
              <a:solidFill>
                <a:schemeClr val="accent2">
                  <a:lumMod val="50000"/>
                </a:schemeClr>
              </a:solidFill>
              <a:latin typeface="+mn-lt"/>
            </a:rPr>
            <a:t>ORDERS</a:t>
          </a:r>
        </a:p>
      </xdr:txBody>
    </xdr:sp>
    <xdr:clientData/>
  </xdr:oneCellAnchor>
  <xdr:oneCellAnchor>
    <xdr:from>
      <xdr:col>6</xdr:col>
      <xdr:colOff>171450</xdr:colOff>
      <xdr:row>9</xdr:row>
      <xdr:rowOff>133350</xdr:rowOff>
    </xdr:from>
    <xdr:ext cx="964688" cy="718466"/>
    <xdr:sp macro="" textlink="'PIVOT KPI '!A6">
      <xdr:nvSpPr>
        <xdr:cNvPr id="9" name="TextBox 8">
          <a:extLst>
            <a:ext uri="{FF2B5EF4-FFF2-40B4-BE49-F238E27FC236}">
              <a16:creationId xmlns:a16="http://schemas.microsoft.com/office/drawing/2014/main" id="{FC5D332A-F3C2-41AA-9304-0506E2DC8D59}"/>
            </a:ext>
          </a:extLst>
        </xdr:cNvPr>
        <xdr:cNvSpPr txBox="1"/>
      </xdr:nvSpPr>
      <xdr:spPr>
        <a:xfrm>
          <a:off x="3829050" y="1847850"/>
          <a:ext cx="964688"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3BCDBCA-70E1-4098-AF14-404A126EF10C}" type="TxLink">
            <a:rPr lang="en-US" sz="4000" b="1" i="0" u="none" strike="noStrike">
              <a:solidFill>
                <a:schemeClr val="accent2">
                  <a:lumMod val="50000"/>
                </a:schemeClr>
              </a:solidFill>
              <a:latin typeface="Calibri"/>
              <a:cs typeface="Calibri"/>
            </a:rPr>
            <a:pPr/>
            <a:t>200</a:t>
          </a:fld>
          <a:endParaRPr lang="en-US" sz="4000" b="1">
            <a:solidFill>
              <a:schemeClr val="accent2">
                <a:lumMod val="50000"/>
              </a:schemeClr>
            </a:solidFill>
          </a:endParaRPr>
        </a:p>
      </xdr:txBody>
    </xdr:sp>
    <xdr:clientData/>
  </xdr:oneCellAnchor>
  <xdr:twoCellAnchor>
    <xdr:from>
      <xdr:col>10</xdr:col>
      <xdr:colOff>19050</xdr:colOff>
      <xdr:row>6</xdr:row>
      <xdr:rowOff>57150</xdr:rowOff>
    </xdr:from>
    <xdr:to>
      <xdr:col>15</xdr:col>
      <xdr:colOff>342900</xdr:colOff>
      <xdr:row>14</xdr:row>
      <xdr:rowOff>57150</xdr:rowOff>
    </xdr:to>
    <xdr:sp macro="" textlink="">
      <xdr:nvSpPr>
        <xdr:cNvPr id="13" name="Rectangle: Rounded Corners 12">
          <a:extLst>
            <a:ext uri="{FF2B5EF4-FFF2-40B4-BE49-F238E27FC236}">
              <a16:creationId xmlns:a16="http://schemas.microsoft.com/office/drawing/2014/main" id="{799A6314-582F-497E-8368-9E9E98DE19D0}"/>
            </a:ext>
          </a:extLst>
        </xdr:cNvPr>
        <xdr:cNvSpPr/>
      </xdr:nvSpPr>
      <xdr:spPr>
        <a:xfrm>
          <a:off x="6115050" y="1200150"/>
          <a:ext cx="3371850" cy="15240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10</xdr:col>
      <xdr:colOff>38100</xdr:colOff>
      <xdr:row>8</xdr:row>
      <xdr:rowOff>76200</xdr:rowOff>
    </xdr:from>
    <xdr:to>
      <xdr:col>11</xdr:col>
      <xdr:colOff>133350</xdr:colOff>
      <xdr:row>12</xdr:row>
      <xdr:rowOff>19050</xdr:rowOff>
    </xdr:to>
    <xdr:pic>
      <xdr:nvPicPr>
        <xdr:cNvPr id="14" name="Graphic 13" descr="Stopwatch with solid fill">
          <a:extLst>
            <a:ext uri="{FF2B5EF4-FFF2-40B4-BE49-F238E27FC236}">
              <a16:creationId xmlns:a16="http://schemas.microsoft.com/office/drawing/2014/main" id="{0F87A7F8-A3FA-4F20-8278-2F1A3F946D2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134100" y="1600200"/>
          <a:ext cx="704850" cy="704850"/>
        </a:xfrm>
        <a:prstGeom prst="rect">
          <a:avLst/>
        </a:prstGeom>
      </xdr:spPr>
    </xdr:pic>
    <xdr:clientData/>
  </xdr:twoCellAnchor>
  <xdr:oneCellAnchor>
    <xdr:from>
      <xdr:col>11</xdr:col>
      <xdr:colOff>76200</xdr:colOff>
      <xdr:row>7</xdr:row>
      <xdr:rowOff>19050</xdr:rowOff>
    </xdr:from>
    <xdr:ext cx="2533650" cy="781050"/>
    <xdr:sp macro="" textlink="">
      <xdr:nvSpPr>
        <xdr:cNvPr id="15" name="TextBox 14">
          <a:extLst>
            <a:ext uri="{FF2B5EF4-FFF2-40B4-BE49-F238E27FC236}">
              <a16:creationId xmlns:a16="http://schemas.microsoft.com/office/drawing/2014/main" id="{98B6C875-2E6A-46AA-A660-2625981737C7}"/>
            </a:ext>
          </a:extLst>
        </xdr:cNvPr>
        <xdr:cNvSpPr txBox="1"/>
      </xdr:nvSpPr>
      <xdr:spPr>
        <a:xfrm>
          <a:off x="6781800" y="1352550"/>
          <a:ext cx="2533650" cy="781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500" b="1">
              <a:solidFill>
                <a:schemeClr val="accent2">
                  <a:lumMod val="50000"/>
                </a:schemeClr>
              </a:solidFill>
              <a:latin typeface="+mn-lt"/>
            </a:rPr>
            <a:t>AVG. TIME</a:t>
          </a:r>
          <a:r>
            <a:rPr lang="en-US" sz="2500" b="1" baseline="0">
              <a:solidFill>
                <a:schemeClr val="accent2">
                  <a:lumMod val="50000"/>
                </a:schemeClr>
              </a:solidFill>
              <a:latin typeface="+mn-lt"/>
            </a:rPr>
            <a:t> </a:t>
          </a:r>
          <a:r>
            <a:rPr lang="en-US" sz="2500" b="1">
              <a:solidFill>
                <a:schemeClr val="accent2">
                  <a:lumMod val="50000"/>
                </a:schemeClr>
              </a:solidFill>
              <a:latin typeface="+mn-lt"/>
            </a:rPr>
            <a:t>(MIN)</a:t>
          </a:r>
        </a:p>
      </xdr:txBody>
    </xdr:sp>
    <xdr:clientData/>
  </xdr:oneCellAnchor>
  <xdr:oneCellAnchor>
    <xdr:from>
      <xdr:col>11</xdr:col>
      <xdr:colOff>590550</xdr:colOff>
      <xdr:row>9</xdr:row>
      <xdr:rowOff>171450</xdr:rowOff>
    </xdr:from>
    <xdr:ext cx="1101712" cy="718466"/>
    <xdr:sp macro="" textlink="'PIVOT KPI '!C6">
      <xdr:nvSpPr>
        <xdr:cNvPr id="16" name="TextBox 15">
          <a:extLst>
            <a:ext uri="{FF2B5EF4-FFF2-40B4-BE49-F238E27FC236}">
              <a16:creationId xmlns:a16="http://schemas.microsoft.com/office/drawing/2014/main" id="{CDEC4A04-C997-40EF-B66B-FD2D1A627D24}"/>
            </a:ext>
          </a:extLst>
        </xdr:cNvPr>
        <xdr:cNvSpPr txBox="1"/>
      </xdr:nvSpPr>
      <xdr:spPr>
        <a:xfrm>
          <a:off x="7296150" y="1885950"/>
          <a:ext cx="1101712"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0D1B590-C20A-4D7E-8CED-0696866AA002}" type="TxLink">
            <a:rPr lang="en-US" sz="4000" b="1" i="0" u="none" strike="noStrike">
              <a:solidFill>
                <a:schemeClr val="accent2">
                  <a:lumMod val="50000"/>
                </a:schemeClr>
              </a:solidFill>
              <a:latin typeface="Calibri"/>
              <a:cs typeface="Calibri"/>
            </a:rPr>
            <a:pPr/>
            <a:t>44.7</a:t>
          </a:fld>
          <a:endParaRPr lang="en-US" sz="4000" b="1" i="0" u="none" strike="noStrike">
            <a:solidFill>
              <a:schemeClr val="accent2">
                <a:lumMod val="50000"/>
              </a:schemeClr>
            </a:solidFill>
            <a:latin typeface="Calibri"/>
            <a:cs typeface="Calibri"/>
          </a:endParaRPr>
        </a:p>
      </xdr:txBody>
    </xdr:sp>
    <xdr:clientData/>
  </xdr:oneCellAnchor>
  <xdr:twoCellAnchor>
    <xdr:from>
      <xdr:col>15</xdr:col>
      <xdr:colOff>533400</xdr:colOff>
      <xdr:row>6</xdr:row>
      <xdr:rowOff>57150</xdr:rowOff>
    </xdr:from>
    <xdr:to>
      <xdr:col>20</xdr:col>
      <xdr:colOff>590550</xdr:colOff>
      <xdr:row>14</xdr:row>
      <xdr:rowOff>57150</xdr:rowOff>
    </xdr:to>
    <xdr:sp macro="" textlink="">
      <xdr:nvSpPr>
        <xdr:cNvPr id="17" name="Rectangle: Rounded Corners 16">
          <a:extLst>
            <a:ext uri="{FF2B5EF4-FFF2-40B4-BE49-F238E27FC236}">
              <a16:creationId xmlns:a16="http://schemas.microsoft.com/office/drawing/2014/main" id="{072AFE28-1004-42D3-B99E-59DCD8ECB053}"/>
            </a:ext>
          </a:extLst>
        </xdr:cNvPr>
        <xdr:cNvSpPr/>
      </xdr:nvSpPr>
      <xdr:spPr>
        <a:xfrm>
          <a:off x="9677400" y="1200150"/>
          <a:ext cx="3105150" cy="15240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17</xdr:col>
      <xdr:colOff>228600</xdr:colOff>
      <xdr:row>7</xdr:row>
      <xdr:rowOff>0</xdr:rowOff>
    </xdr:from>
    <xdr:ext cx="1905000" cy="533400"/>
    <xdr:sp macro="" textlink="">
      <xdr:nvSpPr>
        <xdr:cNvPr id="18" name="TextBox 17">
          <a:extLst>
            <a:ext uri="{FF2B5EF4-FFF2-40B4-BE49-F238E27FC236}">
              <a16:creationId xmlns:a16="http://schemas.microsoft.com/office/drawing/2014/main" id="{BCCA0970-5A79-4EA4-855C-7D6AA2E0CCFA}"/>
            </a:ext>
          </a:extLst>
        </xdr:cNvPr>
        <xdr:cNvSpPr txBox="1"/>
      </xdr:nvSpPr>
      <xdr:spPr>
        <a:xfrm>
          <a:off x="10753725" y="1333500"/>
          <a:ext cx="1905000"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500" b="1">
              <a:solidFill>
                <a:schemeClr val="accent2">
                  <a:lumMod val="50000"/>
                </a:schemeClr>
              </a:solidFill>
              <a:latin typeface="+mn-lt"/>
            </a:rPr>
            <a:t>ON-TIME</a:t>
          </a:r>
          <a:r>
            <a:rPr lang="en-US" sz="2500" b="1" baseline="0">
              <a:solidFill>
                <a:schemeClr val="accent2">
                  <a:lumMod val="50000"/>
                </a:schemeClr>
              </a:solidFill>
              <a:latin typeface="+mn-lt"/>
            </a:rPr>
            <a:t> (%)</a:t>
          </a:r>
          <a:endParaRPr lang="en-US" sz="2500" b="1">
            <a:solidFill>
              <a:schemeClr val="accent2">
                <a:lumMod val="50000"/>
              </a:schemeClr>
            </a:solidFill>
            <a:latin typeface="+mn-lt"/>
          </a:endParaRPr>
        </a:p>
      </xdr:txBody>
    </xdr:sp>
    <xdr:clientData/>
  </xdr:oneCellAnchor>
  <xdr:twoCellAnchor editAs="oneCell">
    <xdr:from>
      <xdr:col>16</xdr:col>
      <xdr:colOff>19050</xdr:colOff>
      <xdr:row>8</xdr:row>
      <xdr:rowOff>114300</xdr:rowOff>
    </xdr:from>
    <xdr:to>
      <xdr:col>17</xdr:col>
      <xdr:colOff>114300</xdr:colOff>
      <xdr:row>12</xdr:row>
      <xdr:rowOff>57150</xdr:rowOff>
    </xdr:to>
    <xdr:pic>
      <xdr:nvPicPr>
        <xdr:cNvPr id="19" name="Graphic 18" descr="Checklist with solid fill">
          <a:extLst>
            <a:ext uri="{FF2B5EF4-FFF2-40B4-BE49-F238E27FC236}">
              <a16:creationId xmlns:a16="http://schemas.microsoft.com/office/drawing/2014/main" id="{64CDDECD-F742-4F87-B154-536BF6CFAC9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772650" y="1638300"/>
          <a:ext cx="704850" cy="704850"/>
        </a:xfrm>
        <a:prstGeom prst="rect">
          <a:avLst/>
        </a:prstGeom>
      </xdr:spPr>
    </xdr:pic>
    <xdr:clientData/>
  </xdr:twoCellAnchor>
  <xdr:oneCellAnchor>
    <xdr:from>
      <xdr:col>17</xdr:col>
      <xdr:colOff>476250</xdr:colOff>
      <xdr:row>9</xdr:row>
      <xdr:rowOff>33338</xdr:rowOff>
    </xdr:from>
    <xdr:ext cx="1078629" cy="718466"/>
    <xdr:sp macro="" textlink="'PIVOT KPI '!A12">
      <xdr:nvSpPr>
        <xdr:cNvPr id="20" name="TextBox 19">
          <a:extLst>
            <a:ext uri="{FF2B5EF4-FFF2-40B4-BE49-F238E27FC236}">
              <a16:creationId xmlns:a16="http://schemas.microsoft.com/office/drawing/2014/main" id="{067B0746-BE83-4DFC-9ACB-97F2C31ED423}"/>
            </a:ext>
          </a:extLst>
        </xdr:cNvPr>
        <xdr:cNvSpPr txBox="1"/>
      </xdr:nvSpPr>
      <xdr:spPr>
        <a:xfrm>
          <a:off x="11001375" y="1747838"/>
          <a:ext cx="1078629"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87614DE-0473-46CF-8D99-2976AD948E5E}" type="TxLink">
            <a:rPr lang="en-US" sz="4000" b="1" i="0" u="none" strike="noStrike">
              <a:solidFill>
                <a:schemeClr val="accent2">
                  <a:lumMod val="50000"/>
                </a:schemeClr>
              </a:solidFill>
              <a:latin typeface="Calibri"/>
              <a:cs typeface="Calibri"/>
            </a:rPr>
            <a:pPr/>
            <a:t>51%</a:t>
          </a:fld>
          <a:endParaRPr lang="en-US" sz="4000" b="1" i="0" u="none" strike="noStrike">
            <a:solidFill>
              <a:schemeClr val="accent2">
                <a:lumMod val="50000"/>
              </a:schemeClr>
            </a:solidFill>
            <a:latin typeface="Calibri"/>
            <a:cs typeface="Calibri"/>
          </a:endParaRPr>
        </a:p>
      </xdr:txBody>
    </xdr:sp>
    <xdr:clientData/>
  </xdr:oneCellAnchor>
  <xdr:twoCellAnchor>
    <xdr:from>
      <xdr:col>21</xdr:col>
      <xdr:colOff>266700</xdr:colOff>
      <xdr:row>6</xdr:row>
      <xdr:rowOff>95250</xdr:rowOff>
    </xdr:from>
    <xdr:to>
      <xdr:col>27</xdr:col>
      <xdr:colOff>166687</xdr:colOff>
      <xdr:row>14</xdr:row>
      <xdr:rowOff>95250</xdr:rowOff>
    </xdr:to>
    <xdr:sp macro="" textlink="">
      <xdr:nvSpPr>
        <xdr:cNvPr id="21" name="Rectangle: Rounded Corners 20">
          <a:extLst>
            <a:ext uri="{FF2B5EF4-FFF2-40B4-BE49-F238E27FC236}">
              <a16:creationId xmlns:a16="http://schemas.microsoft.com/office/drawing/2014/main" id="{4E418156-D0F4-43B9-AE8D-A7F333AEFC18}"/>
            </a:ext>
          </a:extLst>
        </xdr:cNvPr>
        <xdr:cNvSpPr/>
      </xdr:nvSpPr>
      <xdr:spPr>
        <a:xfrm>
          <a:off x="13268325" y="1238250"/>
          <a:ext cx="3614737" cy="15240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21</xdr:col>
      <xdr:colOff>304800</xdr:colOff>
      <xdr:row>8</xdr:row>
      <xdr:rowOff>133350</xdr:rowOff>
    </xdr:from>
    <xdr:to>
      <xdr:col>22</xdr:col>
      <xdr:colOff>342900</xdr:colOff>
      <xdr:row>12</xdr:row>
      <xdr:rowOff>19050</xdr:rowOff>
    </xdr:to>
    <xdr:pic>
      <xdr:nvPicPr>
        <xdr:cNvPr id="22" name="Graphic 21" descr="Map with pin with solid fill">
          <a:extLst>
            <a:ext uri="{FF2B5EF4-FFF2-40B4-BE49-F238E27FC236}">
              <a16:creationId xmlns:a16="http://schemas.microsoft.com/office/drawing/2014/main" id="{72A3FECE-192E-4CAE-8E0F-0F6D47367FF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3106400" y="1657350"/>
          <a:ext cx="647700" cy="647700"/>
        </a:xfrm>
        <a:prstGeom prst="rect">
          <a:avLst/>
        </a:prstGeom>
      </xdr:spPr>
    </xdr:pic>
    <xdr:clientData/>
  </xdr:twoCellAnchor>
  <xdr:oneCellAnchor>
    <xdr:from>
      <xdr:col>21</xdr:col>
      <xdr:colOff>609599</xdr:colOff>
      <xdr:row>7</xdr:row>
      <xdr:rowOff>85725</xdr:rowOff>
    </xdr:from>
    <xdr:ext cx="3438525" cy="1009650"/>
    <xdr:sp macro="" textlink="">
      <xdr:nvSpPr>
        <xdr:cNvPr id="23" name="TextBox 22">
          <a:extLst>
            <a:ext uri="{FF2B5EF4-FFF2-40B4-BE49-F238E27FC236}">
              <a16:creationId xmlns:a16="http://schemas.microsoft.com/office/drawing/2014/main" id="{5C35DE6E-28A0-4A0F-9ADB-F47C93C7B3D5}"/>
            </a:ext>
          </a:extLst>
        </xdr:cNvPr>
        <xdr:cNvSpPr txBox="1"/>
      </xdr:nvSpPr>
      <xdr:spPr>
        <a:xfrm>
          <a:off x="13611224" y="1419225"/>
          <a:ext cx="3438525" cy="1009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500" b="1">
              <a:solidFill>
                <a:schemeClr val="accent2">
                  <a:lumMod val="50000"/>
                </a:schemeClr>
              </a:solidFill>
              <a:latin typeface="+mn-lt"/>
            </a:rPr>
            <a:t>ROUTE DETOUR</a:t>
          </a:r>
          <a:r>
            <a:rPr lang="en-US" sz="2500" b="1" baseline="0">
              <a:solidFill>
                <a:schemeClr val="accent2">
                  <a:lumMod val="50000"/>
                </a:schemeClr>
              </a:solidFill>
              <a:latin typeface="+mn-lt"/>
            </a:rPr>
            <a:t> </a:t>
          </a:r>
          <a:r>
            <a:rPr lang="en-US" sz="2500" b="1">
              <a:solidFill>
                <a:schemeClr val="accent2">
                  <a:lumMod val="50000"/>
                </a:schemeClr>
              </a:solidFill>
              <a:latin typeface="+mn-lt"/>
            </a:rPr>
            <a:t>(%)</a:t>
          </a:r>
        </a:p>
      </xdr:txBody>
    </xdr:sp>
    <xdr:clientData/>
  </xdr:oneCellAnchor>
  <xdr:oneCellAnchor>
    <xdr:from>
      <xdr:col>23</xdr:col>
      <xdr:colOff>452438</xdr:colOff>
      <xdr:row>10</xdr:row>
      <xdr:rowOff>9525</xdr:rowOff>
    </xdr:from>
    <xdr:ext cx="1078629" cy="718466"/>
    <xdr:sp macro="" textlink="'PIVOT KPI '!A16">
      <xdr:nvSpPr>
        <xdr:cNvPr id="24" name="TextBox 23">
          <a:extLst>
            <a:ext uri="{FF2B5EF4-FFF2-40B4-BE49-F238E27FC236}">
              <a16:creationId xmlns:a16="http://schemas.microsoft.com/office/drawing/2014/main" id="{D355071D-CEAD-40B7-8D4D-C920C46D3A3F}"/>
            </a:ext>
          </a:extLst>
        </xdr:cNvPr>
        <xdr:cNvSpPr txBox="1"/>
      </xdr:nvSpPr>
      <xdr:spPr>
        <a:xfrm>
          <a:off x="14692313" y="1914525"/>
          <a:ext cx="1078629"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FAE7A3F-044E-448A-8726-796A88EE2475}" type="TxLink">
            <a:rPr lang="en-US" sz="4000" b="1" i="0" u="none" strike="noStrike">
              <a:solidFill>
                <a:schemeClr val="accent2">
                  <a:lumMod val="50000"/>
                </a:schemeClr>
              </a:solidFill>
              <a:latin typeface="Calibri"/>
              <a:cs typeface="Calibri"/>
            </a:rPr>
            <a:pPr/>
            <a:t>23%</a:t>
          </a:fld>
          <a:endParaRPr lang="en-US" sz="4000" b="1" i="0" u="none" strike="noStrike">
            <a:solidFill>
              <a:schemeClr val="accent2">
                <a:lumMod val="50000"/>
              </a:schemeClr>
            </a:solidFill>
            <a:latin typeface="Calibri"/>
            <a:cs typeface="Calibri"/>
          </a:endParaRPr>
        </a:p>
      </xdr:txBody>
    </xdr:sp>
    <xdr:clientData/>
  </xdr:oneCellAnchor>
  <xdr:twoCellAnchor>
    <xdr:from>
      <xdr:col>4</xdr:col>
      <xdr:colOff>171450</xdr:colOff>
      <xdr:row>15</xdr:row>
      <xdr:rowOff>0</xdr:rowOff>
    </xdr:from>
    <xdr:to>
      <xdr:col>15</xdr:col>
      <xdr:colOff>381000</xdr:colOff>
      <xdr:row>33</xdr:row>
      <xdr:rowOff>76200</xdr:rowOff>
    </xdr:to>
    <xdr:sp macro="" textlink="">
      <xdr:nvSpPr>
        <xdr:cNvPr id="25" name="Rectangle: Rounded Corners 24">
          <a:extLst>
            <a:ext uri="{FF2B5EF4-FFF2-40B4-BE49-F238E27FC236}">
              <a16:creationId xmlns:a16="http://schemas.microsoft.com/office/drawing/2014/main" id="{BB5F41E8-DC33-4F98-9DA3-8840407B780E}"/>
            </a:ext>
          </a:extLst>
        </xdr:cNvPr>
        <xdr:cNvSpPr/>
      </xdr:nvSpPr>
      <xdr:spPr>
        <a:xfrm>
          <a:off x="2609850" y="2857500"/>
          <a:ext cx="6915150" cy="35052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457200</xdr:colOff>
      <xdr:row>15</xdr:row>
      <xdr:rowOff>19050</xdr:rowOff>
    </xdr:from>
    <xdr:to>
      <xdr:col>27</xdr:col>
      <xdr:colOff>190500</xdr:colOff>
      <xdr:row>33</xdr:row>
      <xdr:rowOff>95250</xdr:rowOff>
    </xdr:to>
    <xdr:sp macro="" textlink="">
      <xdr:nvSpPr>
        <xdr:cNvPr id="26" name="Rectangle: Rounded Corners 25">
          <a:extLst>
            <a:ext uri="{FF2B5EF4-FFF2-40B4-BE49-F238E27FC236}">
              <a16:creationId xmlns:a16="http://schemas.microsoft.com/office/drawing/2014/main" id="{E8ADE5F6-E58B-4848-9749-58D5C68F4CF5}"/>
            </a:ext>
          </a:extLst>
        </xdr:cNvPr>
        <xdr:cNvSpPr/>
      </xdr:nvSpPr>
      <xdr:spPr>
        <a:xfrm>
          <a:off x="9601200" y="2876550"/>
          <a:ext cx="7048500" cy="35052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209550</xdr:colOff>
      <xdr:row>33</xdr:row>
      <xdr:rowOff>152400</xdr:rowOff>
    </xdr:from>
    <xdr:to>
      <xdr:col>15</xdr:col>
      <xdr:colOff>419100</xdr:colOff>
      <xdr:row>52</xdr:row>
      <xdr:rowOff>38100</xdr:rowOff>
    </xdr:to>
    <xdr:sp macro="" textlink="">
      <xdr:nvSpPr>
        <xdr:cNvPr id="27" name="Rectangle: Rounded Corners 26">
          <a:extLst>
            <a:ext uri="{FF2B5EF4-FFF2-40B4-BE49-F238E27FC236}">
              <a16:creationId xmlns:a16="http://schemas.microsoft.com/office/drawing/2014/main" id="{1FEDAB25-E5BB-4E3E-ADBE-79C7890D8830}"/>
            </a:ext>
          </a:extLst>
        </xdr:cNvPr>
        <xdr:cNvSpPr/>
      </xdr:nvSpPr>
      <xdr:spPr>
        <a:xfrm>
          <a:off x="2647950" y="6438900"/>
          <a:ext cx="6915150" cy="35052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571500</xdr:colOff>
      <xdr:row>33</xdr:row>
      <xdr:rowOff>171450</xdr:rowOff>
    </xdr:from>
    <xdr:to>
      <xdr:col>27</xdr:col>
      <xdr:colOff>190500</xdr:colOff>
      <xdr:row>52</xdr:row>
      <xdr:rowOff>57150</xdr:rowOff>
    </xdr:to>
    <xdr:sp macro="" textlink="">
      <xdr:nvSpPr>
        <xdr:cNvPr id="29" name="Rectangle: Rounded Corners 28">
          <a:extLst>
            <a:ext uri="{FF2B5EF4-FFF2-40B4-BE49-F238E27FC236}">
              <a16:creationId xmlns:a16="http://schemas.microsoft.com/office/drawing/2014/main" id="{1C206AEF-7B9E-4E33-A97E-2662F7ACE995}"/>
            </a:ext>
          </a:extLst>
        </xdr:cNvPr>
        <xdr:cNvSpPr/>
      </xdr:nvSpPr>
      <xdr:spPr>
        <a:xfrm>
          <a:off x="9715500" y="6457950"/>
          <a:ext cx="6934200" cy="35052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209550</xdr:colOff>
      <xdr:row>52</xdr:row>
      <xdr:rowOff>95250</xdr:rowOff>
    </xdr:from>
    <xdr:to>
      <xdr:col>15</xdr:col>
      <xdr:colOff>419100</xdr:colOff>
      <xdr:row>70</xdr:row>
      <xdr:rowOff>171450</xdr:rowOff>
    </xdr:to>
    <xdr:sp macro="" textlink="">
      <xdr:nvSpPr>
        <xdr:cNvPr id="30" name="Rectangle: Rounded Corners 29">
          <a:extLst>
            <a:ext uri="{FF2B5EF4-FFF2-40B4-BE49-F238E27FC236}">
              <a16:creationId xmlns:a16="http://schemas.microsoft.com/office/drawing/2014/main" id="{E6A2265F-F5C7-4C75-826E-B0D3A09311F6}"/>
            </a:ext>
          </a:extLst>
        </xdr:cNvPr>
        <xdr:cNvSpPr/>
      </xdr:nvSpPr>
      <xdr:spPr>
        <a:xfrm>
          <a:off x="2647950" y="10001250"/>
          <a:ext cx="6915150" cy="35052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571500</xdr:colOff>
      <xdr:row>15</xdr:row>
      <xdr:rowOff>0</xdr:rowOff>
    </xdr:from>
    <xdr:to>
      <xdr:col>3</xdr:col>
      <xdr:colOff>580800</xdr:colOff>
      <xdr:row>71</xdr:row>
      <xdr:rowOff>0</xdr:rowOff>
    </xdr:to>
    <xdr:grpSp>
      <xdr:nvGrpSpPr>
        <xdr:cNvPr id="33" name="Group 32">
          <a:extLst>
            <a:ext uri="{FF2B5EF4-FFF2-40B4-BE49-F238E27FC236}">
              <a16:creationId xmlns:a16="http://schemas.microsoft.com/office/drawing/2014/main" id="{8E0E0497-4AAC-45A0-959F-A14CAF283520}"/>
            </a:ext>
          </a:extLst>
        </xdr:cNvPr>
        <xdr:cNvGrpSpPr/>
      </xdr:nvGrpSpPr>
      <xdr:grpSpPr>
        <a:xfrm>
          <a:off x="571500" y="2857500"/>
          <a:ext cx="1866675" cy="10668000"/>
          <a:chOff x="571500" y="1847850"/>
          <a:chExt cx="1838100" cy="9646321"/>
        </a:xfrm>
      </xdr:grpSpPr>
      <mc:AlternateContent xmlns:mc="http://schemas.openxmlformats.org/markup-compatibility/2006" xmlns:a14="http://schemas.microsoft.com/office/drawing/2010/main">
        <mc:Choice Requires="a14">
          <xdr:graphicFrame macro="">
            <xdr:nvGraphicFramePr>
              <xdr:cNvPr id="10" name="traffic_level 3">
                <a:extLst>
                  <a:ext uri="{FF2B5EF4-FFF2-40B4-BE49-F238E27FC236}">
                    <a16:creationId xmlns:a16="http://schemas.microsoft.com/office/drawing/2014/main" id="{DB692A6B-2EB6-4E5C-B614-8DD7D43C51E1}"/>
                  </a:ext>
                </a:extLst>
              </xdr:cNvPr>
              <xdr:cNvGraphicFramePr/>
            </xdr:nvGraphicFramePr>
            <xdr:xfrm>
              <a:off x="609600" y="1847850"/>
              <a:ext cx="1800000" cy="1188000"/>
            </xdr:xfrm>
            <a:graphic>
              <a:graphicData uri="http://schemas.microsoft.com/office/drawing/2010/slicer">
                <sle:slicer xmlns:sle="http://schemas.microsoft.com/office/drawing/2010/slicer" name="traffic_level 3"/>
              </a:graphicData>
            </a:graphic>
          </xdr:graphicFrame>
        </mc:Choice>
        <mc:Fallback xmlns="">
          <xdr:sp macro="" textlink="">
            <xdr:nvSpPr>
              <xdr:cNvPr id="0" name=""/>
              <xdr:cNvSpPr>
                <a:spLocks noTextEdit="1"/>
              </xdr:cNvSpPr>
            </xdr:nvSpPr>
            <xdr:spPr>
              <a:xfrm>
                <a:off x="610192" y="2857500"/>
                <a:ext cx="1827983" cy="1313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weather 2">
                <a:extLst>
                  <a:ext uri="{FF2B5EF4-FFF2-40B4-BE49-F238E27FC236}">
                    <a16:creationId xmlns:a16="http://schemas.microsoft.com/office/drawing/2014/main" id="{B75F2A9E-E005-492E-810F-7CD003FFA479}"/>
                  </a:ext>
                </a:extLst>
              </xdr:cNvPr>
              <xdr:cNvGraphicFramePr/>
            </xdr:nvGraphicFramePr>
            <xdr:xfrm>
              <a:off x="609600" y="3333750"/>
              <a:ext cx="1800000" cy="1440000"/>
            </xdr:xfrm>
            <a:graphic>
              <a:graphicData uri="http://schemas.microsoft.com/office/drawing/2010/slicer">
                <sle:slicer xmlns:sle="http://schemas.microsoft.com/office/drawing/2010/slicer" name="weather 2"/>
              </a:graphicData>
            </a:graphic>
          </xdr:graphicFrame>
        </mc:Choice>
        <mc:Fallback xmlns="">
          <xdr:sp macro="" textlink="">
            <xdr:nvSpPr>
              <xdr:cNvPr id="0" name=""/>
              <xdr:cNvSpPr>
                <a:spLocks noTextEdit="1"/>
              </xdr:cNvSpPr>
            </xdr:nvSpPr>
            <xdr:spPr>
              <a:xfrm>
                <a:off x="610192" y="4500777"/>
                <a:ext cx="1827983" cy="1592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delivery_mode 3">
                <a:extLst>
                  <a:ext uri="{FF2B5EF4-FFF2-40B4-BE49-F238E27FC236}">
                    <a16:creationId xmlns:a16="http://schemas.microsoft.com/office/drawing/2014/main" id="{F219F6D4-040D-415D-A45E-41F5199F2EE1}"/>
                  </a:ext>
                </a:extLst>
              </xdr:cNvPr>
              <xdr:cNvGraphicFramePr/>
            </xdr:nvGraphicFramePr>
            <xdr:xfrm>
              <a:off x="609600" y="5124450"/>
              <a:ext cx="1800000" cy="1476000"/>
            </xdr:xfrm>
            <a:graphic>
              <a:graphicData uri="http://schemas.microsoft.com/office/drawing/2010/slicer">
                <sle:slicer xmlns:sle="http://schemas.microsoft.com/office/drawing/2010/slicer" name="delivery_mode 3"/>
              </a:graphicData>
            </a:graphic>
          </xdr:graphicFrame>
        </mc:Choice>
        <mc:Fallback xmlns="">
          <xdr:sp macro="" textlink="">
            <xdr:nvSpPr>
              <xdr:cNvPr id="0" name=""/>
              <xdr:cNvSpPr>
                <a:spLocks noTextEdit="1"/>
              </xdr:cNvSpPr>
            </xdr:nvSpPr>
            <xdr:spPr>
              <a:xfrm>
                <a:off x="610192" y="6481137"/>
                <a:ext cx="1827983" cy="1632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restaurant_zone 3">
                <a:extLst>
                  <a:ext uri="{FF2B5EF4-FFF2-40B4-BE49-F238E27FC236}">
                    <a16:creationId xmlns:a16="http://schemas.microsoft.com/office/drawing/2014/main" id="{F555DE01-6AB2-4210-99BC-D71D5AF74D14}"/>
                  </a:ext>
                </a:extLst>
              </xdr:cNvPr>
              <xdr:cNvGraphicFramePr/>
            </xdr:nvGraphicFramePr>
            <xdr:xfrm>
              <a:off x="590550" y="6915150"/>
              <a:ext cx="1800000" cy="2176335"/>
            </xdr:xfrm>
            <a:graphic>
              <a:graphicData uri="http://schemas.microsoft.com/office/drawing/2010/slicer">
                <sle:slicer xmlns:sle="http://schemas.microsoft.com/office/drawing/2010/slicer" name="restaurant_zone 3"/>
              </a:graphicData>
            </a:graphic>
          </xdr:graphicFrame>
        </mc:Choice>
        <mc:Fallback xmlns="">
          <xdr:sp macro="" textlink="">
            <xdr:nvSpPr>
              <xdr:cNvPr id="0" name=""/>
              <xdr:cNvSpPr>
                <a:spLocks noTextEdit="1"/>
              </xdr:cNvSpPr>
            </xdr:nvSpPr>
            <xdr:spPr>
              <a:xfrm>
                <a:off x="590846" y="8461497"/>
                <a:ext cx="1827983" cy="2406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2" name="customer_zone 3">
                <a:extLst>
                  <a:ext uri="{FF2B5EF4-FFF2-40B4-BE49-F238E27FC236}">
                    <a16:creationId xmlns:a16="http://schemas.microsoft.com/office/drawing/2014/main" id="{6B963FAD-6989-42B8-A03C-4CE1275D7777}"/>
                  </a:ext>
                </a:extLst>
              </xdr:cNvPr>
              <xdr:cNvGraphicFramePr/>
            </xdr:nvGraphicFramePr>
            <xdr:xfrm>
              <a:off x="571500" y="9362251"/>
              <a:ext cx="1800000" cy="2131920"/>
            </xdr:xfrm>
            <a:graphic>
              <a:graphicData uri="http://schemas.microsoft.com/office/drawing/2010/slicer">
                <sle:slicer xmlns:sle="http://schemas.microsoft.com/office/drawing/2010/slicer" name="customer_zone 3"/>
              </a:graphicData>
            </a:graphic>
          </xdr:graphicFrame>
        </mc:Choice>
        <mc:Fallback xmlns="">
          <xdr:sp macro="" textlink="">
            <xdr:nvSpPr>
              <xdr:cNvPr id="0" name=""/>
              <xdr:cNvSpPr>
                <a:spLocks noTextEdit="1"/>
              </xdr:cNvSpPr>
            </xdr:nvSpPr>
            <xdr:spPr>
              <a:xfrm>
                <a:off x="571500" y="11167780"/>
                <a:ext cx="1827983" cy="2357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476250</xdr:colOff>
      <xdr:row>16</xdr:row>
      <xdr:rowOff>57150</xdr:rowOff>
    </xdr:from>
    <xdr:to>
      <xdr:col>15</xdr:col>
      <xdr:colOff>57150</xdr:colOff>
      <xdr:row>33</xdr:row>
      <xdr:rowOff>38100</xdr:rowOff>
    </xdr:to>
    <xdr:graphicFrame macro="">
      <xdr:nvGraphicFramePr>
        <xdr:cNvPr id="34" name="Chart 33">
          <a:extLst>
            <a:ext uri="{FF2B5EF4-FFF2-40B4-BE49-F238E27FC236}">
              <a16:creationId xmlns:a16="http://schemas.microsoft.com/office/drawing/2014/main" id="{B535FE99-C722-410B-A1E8-36684BE80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533400</xdr:colOff>
      <xdr:row>17</xdr:row>
      <xdr:rowOff>38100</xdr:rowOff>
    </xdr:from>
    <xdr:to>
      <xdr:col>26</xdr:col>
      <xdr:colOff>419100</xdr:colOff>
      <xdr:row>32</xdr:row>
      <xdr:rowOff>114300</xdr:rowOff>
    </xdr:to>
    <xdr:graphicFrame macro="">
      <xdr:nvGraphicFramePr>
        <xdr:cNvPr id="35" name="Chart 34">
          <a:extLst>
            <a:ext uri="{FF2B5EF4-FFF2-40B4-BE49-F238E27FC236}">
              <a16:creationId xmlns:a16="http://schemas.microsoft.com/office/drawing/2014/main" id="{83328B65-2E63-4D9D-AC91-A9813D652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36</xdr:row>
      <xdr:rowOff>19050</xdr:rowOff>
    </xdr:from>
    <xdr:to>
      <xdr:col>15</xdr:col>
      <xdr:colOff>190500</xdr:colOff>
      <xdr:row>51</xdr:row>
      <xdr:rowOff>133350</xdr:rowOff>
    </xdr:to>
    <xdr:graphicFrame macro="">
      <xdr:nvGraphicFramePr>
        <xdr:cNvPr id="36" name="Chart 35">
          <a:extLst>
            <a:ext uri="{FF2B5EF4-FFF2-40B4-BE49-F238E27FC236}">
              <a16:creationId xmlns:a16="http://schemas.microsoft.com/office/drawing/2014/main" id="{E7F6B808-C929-4FD0-9EA9-9B6099757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38100</xdr:colOff>
      <xdr:row>35</xdr:row>
      <xdr:rowOff>171450</xdr:rowOff>
    </xdr:from>
    <xdr:to>
      <xdr:col>27</xdr:col>
      <xdr:colOff>19050</xdr:colOff>
      <xdr:row>51</xdr:row>
      <xdr:rowOff>152400</xdr:rowOff>
    </xdr:to>
    <xdr:graphicFrame macro="">
      <xdr:nvGraphicFramePr>
        <xdr:cNvPr id="37" name="Chart 36">
          <a:extLst>
            <a:ext uri="{FF2B5EF4-FFF2-40B4-BE49-F238E27FC236}">
              <a16:creationId xmlns:a16="http://schemas.microsoft.com/office/drawing/2014/main" id="{D4C1F675-680A-473D-9601-64AD6F9A5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304800</xdr:colOff>
      <xdr:row>54</xdr:row>
      <xdr:rowOff>95250</xdr:rowOff>
    </xdr:from>
    <xdr:to>
      <xdr:col>15</xdr:col>
      <xdr:colOff>133350</xdr:colOff>
      <xdr:row>70</xdr:row>
      <xdr:rowOff>76200</xdr:rowOff>
    </xdr:to>
    <xdr:graphicFrame macro="">
      <xdr:nvGraphicFramePr>
        <xdr:cNvPr id="38" name="Chart 37">
          <a:extLst>
            <a:ext uri="{FF2B5EF4-FFF2-40B4-BE49-F238E27FC236}">
              <a16:creationId xmlns:a16="http://schemas.microsoft.com/office/drawing/2014/main" id="{0FD4FB1F-74C1-41BC-84A5-E6F4F46A6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7</xdr:col>
      <xdr:colOff>190500</xdr:colOff>
      <xdr:row>15</xdr:row>
      <xdr:rowOff>95250</xdr:rowOff>
    </xdr:from>
    <xdr:ext cx="3269228" cy="405432"/>
    <xdr:sp macro="" textlink="">
      <xdr:nvSpPr>
        <xdr:cNvPr id="39" name="TextBox 38">
          <a:extLst>
            <a:ext uri="{FF2B5EF4-FFF2-40B4-BE49-F238E27FC236}">
              <a16:creationId xmlns:a16="http://schemas.microsoft.com/office/drawing/2014/main" id="{9FC06A49-43CB-48E5-B6F3-00C2DBE701E8}"/>
            </a:ext>
          </a:extLst>
        </xdr:cNvPr>
        <xdr:cNvSpPr txBox="1"/>
      </xdr:nvSpPr>
      <xdr:spPr>
        <a:xfrm>
          <a:off x="4457700" y="2952750"/>
          <a:ext cx="326922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2">
                  <a:lumMod val="50000"/>
                </a:schemeClr>
              </a:solidFill>
            </a:rPr>
            <a:t>DELIVERY TIME BY WEATHER</a:t>
          </a:r>
        </a:p>
      </xdr:txBody>
    </xdr:sp>
    <xdr:clientData/>
  </xdr:oneCellAnchor>
  <xdr:oneCellAnchor>
    <xdr:from>
      <xdr:col>19</xdr:col>
      <xdr:colOff>171450</xdr:colOff>
      <xdr:row>15</xdr:row>
      <xdr:rowOff>152400</xdr:rowOff>
    </xdr:from>
    <xdr:ext cx="2323970" cy="405432"/>
    <xdr:sp macro="" textlink="">
      <xdr:nvSpPr>
        <xdr:cNvPr id="40" name="TextBox 39">
          <a:extLst>
            <a:ext uri="{FF2B5EF4-FFF2-40B4-BE49-F238E27FC236}">
              <a16:creationId xmlns:a16="http://schemas.microsoft.com/office/drawing/2014/main" id="{46C5032A-70F2-416D-B6BB-DEE7D80F75F1}"/>
            </a:ext>
          </a:extLst>
        </xdr:cNvPr>
        <xdr:cNvSpPr txBox="1"/>
      </xdr:nvSpPr>
      <xdr:spPr>
        <a:xfrm>
          <a:off x="11753850" y="3009900"/>
          <a:ext cx="232397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2">
                  <a:lumMod val="50000"/>
                </a:schemeClr>
              </a:solidFill>
            </a:rPr>
            <a:t>ORDERS</a:t>
          </a:r>
          <a:r>
            <a:rPr lang="en-US" sz="2000" b="1" baseline="0">
              <a:solidFill>
                <a:schemeClr val="accent2">
                  <a:lumMod val="50000"/>
                </a:schemeClr>
              </a:solidFill>
            </a:rPr>
            <a:t> BY VEHICLE</a:t>
          </a:r>
          <a:endParaRPr lang="en-US" sz="2000" b="1">
            <a:solidFill>
              <a:schemeClr val="accent2">
                <a:lumMod val="50000"/>
              </a:schemeClr>
            </a:solidFill>
          </a:endParaRPr>
        </a:p>
      </xdr:txBody>
    </xdr:sp>
    <xdr:clientData/>
  </xdr:oneCellAnchor>
  <xdr:oneCellAnchor>
    <xdr:from>
      <xdr:col>7</xdr:col>
      <xdr:colOff>57150</xdr:colOff>
      <xdr:row>34</xdr:row>
      <xdr:rowOff>152400</xdr:rowOff>
    </xdr:from>
    <xdr:ext cx="3847976" cy="405432"/>
    <xdr:sp macro="" textlink="">
      <xdr:nvSpPr>
        <xdr:cNvPr id="41" name="TextBox 40">
          <a:extLst>
            <a:ext uri="{FF2B5EF4-FFF2-40B4-BE49-F238E27FC236}">
              <a16:creationId xmlns:a16="http://schemas.microsoft.com/office/drawing/2014/main" id="{DFD5ABC9-D1F7-41DE-80E7-DA94BD6DD5CA}"/>
            </a:ext>
          </a:extLst>
        </xdr:cNvPr>
        <xdr:cNvSpPr txBox="1"/>
      </xdr:nvSpPr>
      <xdr:spPr>
        <a:xfrm>
          <a:off x="4324350" y="6629400"/>
          <a:ext cx="384797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2">
                  <a:lumMod val="50000"/>
                </a:schemeClr>
              </a:solidFill>
            </a:rPr>
            <a:t>DELIVERY TIME BY ROUTE</a:t>
          </a:r>
          <a:r>
            <a:rPr lang="en-US" sz="2000" b="1" baseline="0">
              <a:solidFill>
                <a:schemeClr val="accent2">
                  <a:lumMod val="50000"/>
                </a:schemeClr>
              </a:solidFill>
            </a:rPr>
            <a:t> LENGTH</a:t>
          </a:r>
          <a:endParaRPr lang="en-US" sz="2000" b="1">
            <a:solidFill>
              <a:schemeClr val="accent2">
                <a:lumMod val="50000"/>
              </a:schemeClr>
            </a:solidFill>
          </a:endParaRPr>
        </a:p>
      </xdr:txBody>
    </xdr:sp>
    <xdr:clientData/>
  </xdr:oneCellAnchor>
  <xdr:oneCellAnchor>
    <xdr:from>
      <xdr:col>18</xdr:col>
      <xdr:colOff>133350</xdr:colOff>
      <xdr:row>34</xdr:row>
      <xdr:rowOff>76200</xdr:rowOff>
    </xdr:from>
    <xdr:ext cx="3532185" cy="405432"/>
    <xdr:sp macro="" textlink="">
      <xdr:nvSpPr>
        <xdr:cNvPr id="42" name="TextBox 41">
          <a:extLst>
            <a:ext uri="{FF2B5EF4-FFF2-40B4-BE49-F238E27FC236}">
              <a16:creationId xmlns:a16="http://schemas.microsoft.com/office/drawing/2014/main" id="{E5FC0EE1-8AEB-4E49-8497-C0BFCBA2FFF3}"/>
            </a:ext>
          </a:extLst>
        </xdr:cNvPr>
        <xdr:cNvSpPr txBox="1"/>
      </xdr:nvSpPr>
      <xdr:spPr>
        <a:xfrm>
          <a:off x="11106150" y="6553200"/>
          <a:ext cx="353218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2">
                  <a:lumMod val="50000"/>
                </a:schemeClr>
              </a:solidFill>
            </a:rPr>
            <a:t>ORDERS BY RESTAURANT</a:t>
          </a:r>
          <a:r>
            <a:rPr lang="en-US" sz="2000" b="1" baseline="0">
              <a:solidFill>
                <a:schemeClr val="accent2">
                  <a:lumMod val="50000"/>
                </a:schemeClr>
              </a:solidFill>
            </a:rPr>
            <a:t> ZONE</a:t>
          </a:r>
          <a:endParaRPr lang="en-US" sz="2000" b="1">
            <a:solidFill>
              <a:schemeClr val="accent2">
                <a:lumMod val="50000"/>
              </a:schemeClr>
            </a:solidFill>
          </a:endParaRPr>
        </a:p>
      </xdr:txBody>
    </xdr:sp>
    <xdr:clientData/>
  </xdr:oneCellAnchor>
  <xdr:oneCellAnchor>
    <xdr:from>
      <xdr:col>6</xdr:col>
      <xdr:colOff>590550</xdr:colOff>
      <xdr:row>53</xdr:row>
      <xdr:rowOff>57150</xdr:rowOff>
    </xdr:from>
    <xdr:ext cx="3314369" cy="405432"/>
    <xdr:sp macro="" textlink="">
      <xdr:nvSpPr>
        <xdr:cNvPr id="43" name="TextBox 42">
          <a:extLst>
            <a:ext uri="{FF2B5EF4-FFF2-40B4-BE49-F238E27FC236}">
              <a16:creationId xmlns:a16="http://schemas.microsoft.com/office/drawing/2014/main" id="{8B2C164B-58ED-46E9-A732-4BE0D0F80FF0}"/>
            </a:ext>
          </a:extLst>
        </xdr:cNvPr>
        <xdr:cNvSpPr txBox="1"/>
      </xdr:nvSpPr>
      <xdr:spPr>
        <a:xfrm>
          <a:off x="4248150" y="10153650"/>
          <a:ext cx="331436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2">
                  <a:lumMod val="50000"/>
                </a:schemeClr>
              </a:solidFill>
            </a:rPr>
            <a:t>ORDERS BY CUSTOMER</a:t>
          </a:r>
          <a:r>
            <a:rPr lang="en-US" sz="2000" b="1" baseline="0">
              <a:solidFill>
                <a:schemeClr val="accent2">
                  <a:lumMod val="50000"/>
                </a:schemeClr>
              </a:solidFill>
            </a:rPr>
            <a:t> ZONE</a:t>
          </a:r>
          <a:endParaRPr lang="en-US" sz="2000" b="1">
            <a:solidFill>
              <a:schemeClr val="accent2">
                <a:lumMod val="50000"/>
              </a:schemeClr>
            </a:solidFill>
          </a:endParaRPr>
        </a:p>
      </xdr:txBody>
    </xdr:sp>
    <xdr:clientData/>
  </xdr:oneCellAnchor>
  <xdr:twoCellAnchor>
    <xdr:from>
      <xdr:col>0</xdr:col>
      <xdr:colOff>495300</xdr:colOff>
      <xdr:row>6</xdr:row>
      <xdr:rowOff>76200</xdr:rowOff>
    </xdr:from>
    <xdr:to>
      <xdr:col>4</xdr:col>
      <xdr:colOff>152400</xdr:colOff>
      <xdr:row>9</xdr:row>
      <xdr:rowOff>171450</xdr:rowOff>
    </xdr:to>
    <xdr:sp macro="" textlink="">
      <xdr:nvSpPr>
        <xdr:cNvPr id="44" name="Rectangle: Rounded Corners 43">
          <a:hlinkClick xmlns:r="http://schemas.openxmlformats.org/officeDocument/2006/relationships" r:id="rId16"/>
          <a:extLst>
            <a:ext uri="{FF2B5EF4-FFF2-40B4-BE49-F238E27FC236}">
              <a16:creationId xmlns:a16="http://schemas.microsoft.com/office/drawing/2014/main" id="{6467A0FC-D4F3-47EA-8547-839829D3672C}"/>
            </a:ext>
          </a:extLst>
        </xdr:cNvPr>
        <xdr:cNvSpPr/>
      </xdr:nvSpPr>
      <xdr:spPr>
        <a:xfrm>
          <a:off x="495300" y="1219200"/>
          <a:ext cx="2095500" cy="66675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000" b="1">
              <a:solidFill>
                <a:schemeClr val="accent2">
                  <a:lumMod val="50000"/>
                </a:schemeClr>
              </a:solidFill>
            </a:rPr>
            <a:t>OVERVIEW</a:t>
          </a:r>
        </a:p>
      </xdr:txBody>
    </xdr:sp>
    <xdr:clientData/>
  </xdr:twoCellAnchor>
  <xdr:twoCellAnchor>
    <xdr:from>
      <xdr:col>0</xdr:col>
      <xdr:colOff>476250</xdr:colOff>
      <xdr:row>10</xdr:row>
      <xdr:rowOff>95250</xdr:rowOff>
    </xdr:from>
    <xdr:to>
      <xdr:col>4</xdr:col>
      <xdr:colOff>133350</xdr:colOff>
      <xdr:row>14</xdr:row>
      <xdr:rowOff>0</xdr:rowOff>
    </xdr:to>
    <xdr:sp macro="" textlink="">
      <xdr:nvSpPr>
        <xdr:cNvPr id="45" name="Rectangle: Rounded Corners 44">
          <a:hlinkClick xmlns:r="http://schemas.openxmlformats.org/officeDocument/2006/relationships" r:id="rId17"/>
          <a:extLst>
            <a:ext uri="{FF2B5EF4-FFF2-40B4-BE49-F238E27FC236}">
              <a16:creationId xmlns:a16="http://schemas.microsoft.com/office/drawing/2014/main" id="{DDDB114F-D988-4FD5-BD82-EE7C52B9BBAB}"/>
            </a:ext>
          </a:extLst>
        </xdr:cNvPr>
        <xdr:cNvSpPr/>
      </xdr:nvSpPr>
      <xdr:spPr>
        <a:xfrm>
          <a:off x="476250" y="2000250"/>
          <a:ext cx="2095500" cy="66675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000" b="1">
              <a:solidFill>
                <a:schemeClr val="accent2">
                  <a:lumMod val="50000"/>
                </a:schemeClr>
              </a:solidFill>
            </a:rPr>
            <a:t>DRIVERS</a:t>
          </a:r>
        </a:p>
      </xdr:txBody>
    </xdr:sp>
    <xdr:clientData/>
  </xdr:twoCellAnchor>
  <xdr:twoCellAnchor>
    <xdr:from>
      <xdr:col>0</xdr:col>
      <xdr:colOff>19050</xdr:colOff>
      <xdr:row>71</xdr:row>
      <xdr:rowOff>38100</xdr:rowOff>
    </xdr:from>
    <xdr:to>
      <xdr:col>28</xdr:col>
      <xdr:colOff>-1</xdr:colOff>
      <xdr:row>72</xdr:row>
      <xdr:rowOff>142875</xdr:rowOff>
    </xdr:to>
    <xdr:sp macro="" textlink="">
      <xdr:nvSpPr>
        <xdr:cNvPr id="47" name="Rectangle: Rounded Corners 46">
          <a:extLst>
            <a:ext uri="{FF2B5EF4-FFF2-40B4-BE49-F238E27FC236}">
              <a16:creationId xmlns:a16="http://schemas.microsoft.com/office/drawing/2014/main" id="{0D8FEA82-410E-47CE-9BD7-33F34DA20FE4}"/>
            </a:ext>
          </a:extLst>
        </xdr:cNvPr>
        <xdr:cNvSpPr/>
      </xdr:nvSpPr>
      <xdr:spPr>
        <a:xfrm>
          <a:off x="19050" y="13563600"/>
          <a:ext cx="17316449"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accent2">
                  <a:lumMod val="50000"/>
                </a:schemeClr>
              </a:solidFill>
              <a:effectLst/>
              <a:latin typeface="+mn-lt"/>
              <a:ea typeface="+mn-ea"/>
              <a:cs typeface="+mn-cs"/>
            </a:rPr>
            <a:t>SOURCE:FOOD_DELIVERY_ROUTE_EFFFICIENCY_DATASET</a:t>
          </a:r>
          <a:r>
            <a:rPr lang="en-US" sz="1200" b="1" baseline="0">
              <a:solidFill>
                <a:schemeClr val="accent2">
                  <a:lumMod val="50000"/>
                </a:schemeClr>
              </a:solidFill>
              <a:effectLst/>
              <a:latin typeface="+mn-lt"/>
              <a:ea typeface="+mn-ea"/>
              <a:cs typeface="+mn-cs"/>
            </a:rPr>
            <a:t> | #dataforgechallenge</a:t>
          </a:r>
          <a:endParaRPr lang="en-US" sz="1200" b="1">
            <a:solidFill>
              <a:schemeClr val="accent2">
                <a:lumMod val="50000"/>
              </a:schemeClr>
            </a:solidFill>
            <a:effectLst/>
          </a:endParaRPr>
        </a:p>
        <a:p>
          <a:pPr algn="ctr"/>
          <a:endParaRPr lang="en-US" sz="1200" b="1">
            <a:solidFill>
              <a:schemeClr val="accent2">
                <a:lumMod val="50000"/>
              </a:schemeClr>
            </a:solidFill>
          </a:endParaRPr>
        </a:p>
      </xdr:txBody>
    </xdr:sp>
    <xdr:clientData/>
  </xdr:twoCellAnchor>
  <xdr:twoCellAnchor>
    <xdr:from>
      <xdr:col>15</xdr:col>
      <xdr:colOff>581025</xdr:colOff>
      <xdr:row>52</xdr:row>
      <xdr:rowOff>109538</xdr:rowOff>
    </xdr:from>
    <xdr:to>
      <xdr:col>27</xdr:col>
      <xdr:colOff>200025</xdr:colOff>
      <xdr:row>70</xdr:row>
      <xdr:rowOff>185738</xdr:rowOff>
    </xdr:to>
    <xdr:sp macro="" textlink="">
      <xdr:nvSpPr>
        <xdr:cNvPr id="51" name="Rectangle: Rounded Corners 50">
          <a:extLst>
            <a:ext uri="{FF2B5EF4-FFF2-40B4-BE49-F238E27FC236}">
              <a16:creationId xmlns:a16="http://schemas.microsoft.com/office/drawing/2014/main" id="{38B1E3AC-57E3-4A6D-A4C6-F544B73CA2D5}"/>
            </a:ext>
          </a:extLst>
        </xdr:cNvPr>
        <xdr:cNvSpPr/>
      </xdr:nvSpPr>
      <xdr:spPr>
        <a:xfrm>
          <a:off x="9867900" y="10015538"/>
          <a:ext cx="7048500" cy="35052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16</xdr:col>
      <xdr:colOff>238125</xdr:colOff>
      <xdr:row>53</xdr:row>
      <xdr:rowOff>71437</xdr:rowOff>
    </xdr:from>
    <xdr:ext cx="6572250" cy="3428999"/>
    <xdr:sp macro="" textlink="">
      <xdr:nvSpPr>
        <xdr:cNvPr id="52" name="TextBox 51">
          <a:extLst>
            <a:ext uri="{FF2B5EF4-FFF2-40B4-BE49-F238E27FC236}">
              <a16:creationId xmlns:a16="http://schemas.microsoft.com/office/drawing/2014/main" id="{28CDAFF3-992F-4066-A203-D9F06C48A054}"/>
            </a:ext>
          </a:extLst>
        </xdr:cNvPr>
        <xdr:cNvSpPr txBox="1"/>
      </xdr:nvSpPr>
      <xdr:spPr>
        <a:xfrm>
          <a:off x="10144125" y="10167937"/>
          <a:ext cx="6572250" cy="3428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900" b="1">
              <a:solidFill>
                <a:schemeClr val="accent2">
                  <a:lumMod val="50000"/>
                </a:schemeClr>
              </a:solidFill>
            </a:rPr>
            <a:t>KEY INSIGHTS</a:t>
          </a:r>
        </a:p>
        <a:p>
          <a:r>
            <a:rPr lang="en-US" sz="1900" b="1">
              <a:solidFill>
                <a:schemeClr val="accent2">
                  <a:lumMod val="50000"/>
                </a:schemeClr>
              </a:solidFill>
            </a:rPr>
            <a:t> - Distance drives delay: 10</a:t>
          </a:r>
          <a:r>
            <a:rPr lang="en-US" sz="1900" b="1" baseline="0">
              <a:solidFill>
                <a:schemeClr val="accent2">
                  <a:lumMod val="50000"/>
                </a:schemeClr>
              </a:solidFill>
            </a:rPr>
            <a:t> km+ trips take about 74 min while &lt;2 km takes about 8 min. </a:t>
          </a:r>
        </a:p>
        <a:p>
          <a:r>
            <a:rPr lang="en-US" sz="1900" b="1" baseline="0">
              <a:solidFill>
                <a:schemeClr val="accent2">
                  <a:lumMod val="50000"/>
                </a:schemeClr>
              </a:solidFill>
            </a:rPr>
            <a:t> - Only 51% of orders arrive within the 45 min target.</a:t>
          </a:r>
        </a:p>
        <a:p>
          <a:r>
            <a:rPr lang="en-US" sz="1900" b="1" baseline="0">
              <a:solidFill>
                <a:schemeClr val="accent2">
                  <a:lumMod val="50000"/>
                </a:schemeClr>
              </a:solidFill>
            </a:rPr>
            <a:t> - Bicycles and Scooters are slowest but carry over half of all orders.</a:t>
          </a:r>
        </a:p>
        <a:p>
          <a:endParaRPr lang="en-US" sz="1900" b="1" baseline="0">
            <a:solidFill>
              <a:schemeClr val="accent2">
                <a:lumMod val="50000"/>
              </a:schemeClr>
            </a:solidFill>
          </a:endParaRPr>
        </a:p>
        <a:p>
          <a:r>
            <a:rPr lang="en-US" sz="1900" b="1" baseline="0">
              <a:solidFill>
                <a:schemeClr val="accent2">
                  <a:lumMod val="50000"/>
                </a:schemeClr>
              </a:solidFill>
            </a:rPr>
            <a:t>RECOMMENATIONS</a:t>
          </a:r>
        </a:p>
        <a:p>
          <a:r>
            <a:rPr lang="en-US" sz="1900" b="1" baseline="0">
              <a:solidFill>
                <a:schemeClr val="accent2">
                  <a:lumMod val="50000"/>
                </a:schemeClr>
              </a:solidFill>
            </a:rPr>
            <a:t> - Limit long trips or give longer promised time.</a:t>
          </a:r>
        </a:p>
        <a:p>
          <a:r>
            <a:rPr lang="en-US" sz="1900" b="1" baseline="0">
              <a:solidFill>
                <a:schemeClr val="accent2">
                  <a:lumMod val="50000"/>
                </a:schemeClr>
              </a:solidFill>
            </a:rPr>
            <a:t> - Batch orders and use GPS routing.</a:t>
          </a:r>
        </a:p>
        <a:p>
          <a:r>
            <a:rPr lang="en-US" sz="1900" b="1" baseline="0">
              <a:solidFill>
                <a:schemeClr val="accent2">
                  <a:lumMod val="50000"/>
                </a:schemeClr>
              </a:solidFill>
            </a:rPr>
            <a:t> - Use cars and Bikes for long routes.</a:t>
          </a:r>
        </a:p>
      </xdr:txBody>
    </xdr:sp>
    <xdr:clientData/>
  </xdr:oneCellAnchor>
  <xdr:oneCellAnchor>
    <xdr:from>
      <xdr:col>16</xdr:col>
      <xdr:colOff>509587</xdr:colOff>
      <xdr:row>12</xdr:row>
      <xdr:rowOff>57150</xdr:rowOff>
    </xdr:from>
    <xdr:ext cx="3910012" cy="358431"/>
    <xdr:sp macro="" textlink="'PIVOT KPI '!A12">
      <xdr:nvSpPr>
        <xdr:cNvPr id="54" name="TextBox 53">
          <a:extLst>
            <a:ext uri="{FF2B5EF4-FFF2-40B4-BE49-F238E27FC236}">
              <a16:creationId xmlns:a16="http://schemas.microsoft.com/office/drawing/2014/main" id="{2FC02929-D7C6-445E-9CD8-0A92E9AF7F08}"/>
            </a:ext>
          </a:extLst>
        </xdr:cNvPr>
        <xdr:cNvSpPr txBox="1"/>
      </xdr:nvSpPr>
      <xdr:spPr>
        <a:xfrm>
          <a:off x="10415587" y="2343150"/>
          <a:ext cx="3910012"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700" b="1" i="0" u="none" strike="noStrike">
              <a:solidFill>
                <a:schemeClr val="accent2">
                  <a:lumMod val="50000"/>
                </a:schemeClr>
              </a:solidFill>
              <a:latin typeface="Calibri"/>
              <a:cs typeface="Calibri"/>
            </a:rPr>
            <a:t>"On-time</a:t>
          </a:r>
          <a:r>
            <a:rPr lang="en-US" sz="1700" b="1" i="0" u="none" strike="noStrike" baseline="0">
              <a:solidFill>
                <a:schemeClr val="accent2">
                  <a:lumMod val="50000"/>
                </a:schemeClr>
              </a:solidFill>
              <a:latin typeface="Calibri"/>
              <a:cs typeface="Calibri"/>
            </a:rPr>
            <a:t> target: 45 min"</a:t>
          </a:r>
          <a:endParaRPr lang="en-US" sz="1700" b="1" i="0" u="none" strike="noStrike">
            <a:solidFill>
              <a:schemeClr val="accent2">
                <a:lumMod val="50000"/>
              </a:schemeClr>
            </a:solidFill>
            <a:latin typeface="Calibri"/>
            <a:cs typeface="Calibri"/>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12</xdr:col>
      <xdr:colOff>228600</xdr:colOff>
      <xdr:row>180</xdr:row>
      <xdr:rowOff>35700</xdr:rowOff>
    </xdr:from>
    <xdr:to>
      <xdr:col>13</xdr:col>
      <xdr:colOff>533400</xdr:colOff>
      <xdr:row>184</xdr:row>
      <xdr:rowOff>188100</xdr:rowOff>
    </xdr:to>
    <xdr:pic>
      <xdr:nvPicPr>
        <xdr:cNvPr id="3" name="Graphic 2" descr="Ruler with solid fill">
          <a:extLst>
            <a:ext uri="{FF2B5EF4-FFF2-40B4-BE49-F238E27FC236}">
              <a16:creationId xmlns:a16="http://schemas.microsoft.com/office/drawing/2014/main" id="{FB393157-A35F-4AE7-8C63-3697229145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991475" y="34325700"/>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137764</xdr:colOff>
      <xdr:row>16</xdr:row>
      <xdr:rowOff>153096</xdr:rowOff>
    </xdr:from>
    <xdr:to>
      <xdr:col>15</xdr:col>
      <xdr:colOff>154491</xdr:colOff>
      <xdr:row>30</xdr:row>
      <xdr:rowOff>75270</xdr:rowOff>
    </xdr:to>
    <mc:AlternateContent xmlns:mc="http://schemas.openxmlformats.org/markup-compatibility/2006" xmlns:a14="http://schemas.microsoft.com/office/drawing/2010/main">
      <mc:Choice Requires="a14">
        <xdr:graphicFrame macro="">
          <xdr:nvGraphicFramePr>
            <xdr:cNvPr id="7" name="traffic_level">
              <a:extLst>
                <a:ext uri="{FF2B5EF4-FFF2-40B4-BE49-F238E27FC236}">
                  <a16:creationId xmlns:a16="http://schemas.microsoft.com/office/drawing/2014/main" id="{158DCE82-FA86-4F89-ACC4-5D26642B6BF2}"/>
                </a:ext>
              </a:extLst>
            </xdr:cNvPr>
            <xdr:cNvGraphicFramePr/>
          </xdr:nvGraphicFramePr>
          <xdr:xfrm>
            <a:off x="0" y="0"/>
            <a:ext cx="0" cy="0"/>
          </xdr:xfrm>
          <a:graphic>
            <a:graphicData uri="http://schemas.microsoft.com/office/drawing/2010/slicer">
              <sle:slicer xmlns:sle="http://schemas.microsoft.com/office/drawing/2010/slicer" name="traffic_level"/>
            </a:graphicData>
          </a:graphic>
        </xdr:graphicFrame>
      </mc:Choice>
      <mc:Fallback xmlns="">
        <xdr:sp macro="" textlink="">
          <xdr:nvSpPr>
            <xdr:cNvPr id="0" name=""/>
            <xdr:cNvSpPr>
              <a:spLocks noTextEdit="1"/>
            </xdr:cNvSpPr>
          </xdr:nvSpPr>
          <xdr:spPr>
            <a:xfrm>
              <a:off x="10324868" y="312675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230691</xdr:colOff>
      <xdr:row>16</xdr:row>
      <xdr:rowOff>95017</xdr:rowOff>
    </xdr:from>
    <xdr:to>
      <xdr:col>18</xdr:col>
      <xdr:colOff>247418</xdr:colOff>
      <xdr:row>30</xdr:row>
      <xdr:rowOff>17191</xdr:rowOff>
    </xdr:to>
    <mc:AlternateContent xmlns:mc="http://schemas.openxmlformats.org/markup-compatibility/2006" xmlns:a14="http://schemas.microsoft.com/office/drawing/2010/main">
      <mc:Choice Requires="a14">
        <xdr:graphicFrame macro="">
          <xdr:nvGraphicFramePr>
            <xdr:cNvPr id="8" name="delivery_mode">
              <a:extLst>
                <a:ext uri="{FF2B5EF4-FFF2-40B4-BE49-F238E27FC236}">
                  <a16:creationId xmlns:a16="http://schemas.microsoft.com/office/drawing/2014/main" id="{5A4F8586-F3E3-441B-B12F-9FBB92BD1F68}"/>
                </a:ext>
              </a:extLst>
            </xdr:cNvPr>
            <xdr:cNvGraphicFramePr/>
          </xdr:nvGraphicFramePr>
          <xdr:xfrm>
            <a:off x="0" y="0"/>
            <a:ext cx="0" cy="0"/>
          </xdr:xfrm>
          <a:graphic>
            <a:graphicData uri="http://schemas.microsoft.com/office/drawing/2010/slicer">
              <sle:slicer xmlns:sle="http://schemas.microsoft.com/office/drawing/2010/slicer" name="delivery_mode"/>
            </a:graphicData>
          </a:graphic>
        </xdr:graphicFrame>
      </mc:Choice>
      <mc:Fallback xmlns="">
        <xdr:sp macro="" textlink="">
          <xdr:nvSpPr>
            <xdr:cNvPr id="0" name=""/>
            <xdr:cNvSpPr>
              <a:spLocks noTextEdit="1"/>
            </xdr:cNvSpPr>
          </xdr:nvSpPr>
          <xdr:spPr>
            <a:xfrm>
              <a:off x="12229868" y="306867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68069</xdr:colOff>
      <xdr:row>2</xdr:row>
      <xdr:rowOff>129866</xdr:rowOff>
    </xdr:from>
    <xdr:to>
      <xdr:col>12</xdr:col>
      <xdr:colOff>84796</xdr:colOff>
      <xdr:row>16</xdr:row>
      <xdr:rowOff>52039</xdr:rowOff>
    </xdr:to>
    <mc:AlternateContent xmlns:mc="http://schemas.openxmlformats.org/markup-compatibility/2006" xmlns:a14="http://schemas.microsoft.com/office/drawing/2010/main">
      <mc:Choice Requires="a14">
        <xdr:graphicFrame macro="">
          <xdr:nvGraphicFramePr>
            <xdr:cNvPr id="9" name="weather">
              <a:extLst>
                <a:ext uri="{FF2B5EF4-FFF2-40B4-BE49-F238E27FC236}">
                  <a16:creationId xmlns:a16="http://schemas.microsoft.com/office/drawing/2014/main" id="{2E3F2F5D-1E11-4422-9211-EF55CEDD0E05}"/>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8443099" y="50157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265539</xdr:colOff>
      <xdr:row>2</xdr:row>
      <xdr:rowOff>95018</xdr:rowOff>
    </xdr:from>
    <xdr:to>
      <xdr:col>18</xdr:col>
      <xdr:colOff>282266</xdr:colOff>
      <xdr:row>16</xdr:row>
      <xdr:rowOff>17191</xdr:rowOff>
    </xdr:to>
    <mc:AlternateContent xmlns:mc="http://schemas.openxmlformats.org/markup-compatibility/2006" xmlns:a14="http://schemas.microsoft.com/office/drawing/2010/main">
      <mc:Choice Requires="a14">
        <xdr:graphicFrame macro="">
          <xdr:nvGraphicFramePr>
            <xdr:cNvPr id="10" name="restaurant_zone">
              <a:extLst>
                <a:ext uri="{FF2B5EF4-FFF2-40B4-BE49-F238E27FC236}">
                  <a16:creationId xmlns:a16="http://schemas.microsoft.com/office/drawing/2014/main" id="{5A1532B3-6884-408F-94F9-BA5CCE95EF53}"/>
                </a:ext>
              </a:extLst>
            </xdr:cNvPr>
            <xdr:cNvGraphicFramePr/>
          </xdr:nvGraphicFramePr>
          <xdr:xfrm>
            <a:off x="0" y="0"/>
            <a:ext cx="0" cy="0"/>
          </xdr:xfrm>
          <a:graphic>
            <a:graphicData uri="http://schemas.microsoft.com/office/drawing/2010/slicer">
              <sle:slicer xmlns:sle="http://schemas.microsoft.com/office/drawing/2010/slicer" name="restaurant_zone"/>
            </a:graphicData>
          </a:graphic>
        </xdr:graphicFrame>
      </mc:Choice>
      <mc:Fallback xmlns="">
        <xdr:sp macro="" textlink="">
          <xdr:nvSpPr>
            <xdr:cNvPr id="0" name=""/>
            <xdr:cNvSpPr>
              <a:spLocks noTextEdit="1"/>
            </xdr:cNvSpPr>
          </xdr:nvSpPr>
          <xdr:spPr>
            <a:xfrm>
              <a:off x="12264716" y="466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137764</xdr:colOff>
      <xdr:row>2</xdr:row>
      <xdr:rowOff>106634</xdr:rowOff>
    </xdr:from>
    <xdr:to>
      <xdr:col>15</xdr:col>
      <xdr:colOff>154491</xdr:colOff>
      <xdr:row>16</xdr:row>
      <xdr:rowOff>28807</xdr:rowOff>
    </xdr:to>
    <mc:AlternateContent xmlns:mc="http://schemas.openxmlformats.org/markup-compatibility/2006" xmlns:a14="http://schemas.microsoft.com/office/drawing/2010/main">
      <mc:Choice Requires="a14">
        <xdr:graphicFrame macro="">
          <xdr:nvGraphicFramePr>
            <xdr:cNvPr id="11" name="customer_zone">
              <a:extLst>
                <a:ext uri="{FF2B5EF4-FFF2-40B4-BE49-F238E27FC236}">
                  <a16:creationId xmlns:a16="http://schemas.microsoft.com/office/drawing/2014/main" id="{321DBCD8-2CB4-4D3D-9BA1-43A603C5C0B5}"/>
                </a:ext>
              </a:extLst>
            </xdr:cNvPr>
            <xdr:cNvGraphicFramePr/>
          </xdr:nvGraphicFramePr>
          <xdr:xfrm>
            <a:off x="0" y="0"/>
            <a:ext cx="0" cy="0"/>
          </xdr:xfrm>
          <a:graphic>
            <a:graphicData uri="http://schemas.microsoft.com/office/drawing/2010/slicer">
              <sle:slicer xmlns:sle="http://schemas.microsoft.com/office/drawing/2010/slicer" name="customer_zone"/>
            </a:graphicData>
          </a:graphic>
        </xdr:graphicFrame>
      </mc:Choice>
      <mc:Fallback xmlns="">
        <xdr:sp macro="" textlink="">
          <xdr:nvSpPr>
            <xdr:cNvPr id="0" name=""/>
            <xdr:cNvSpPr>
              <a:spLocks noTextEdit="1"/>
            </xdr:cNvSpPr>
          </xdr:nvSpPr>
          <xdr:spPr>
            <a:xfrm>
              <a:off x="10324868" y="47834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xdr:colOff>
      <xdr:row>0</xdr:row>
      <xdr:rowOff>128587</xdr:rowOff>
    </xdr:from>
    <xdr:to>
      <xdr:col>8</xdr:col>
      <xdr:colOff>428625</xdr:colOff>
      <xdr:row>11</xdr:row>
      <xdr:rowOff>161925</xdr:rowOff>
    </xdr:to>
    <xdr:graphicFrame macro="">
      <xdr:nvGraphicFramePr>
        <xdr:cNvPr id="3" name="Chart 2">
          <a:extLst>
            <a:ext uri="{FF2B5EF4-FFF2-40B4-BE49-F238E27FC236}">
              <a16:creationId xmlns:a16="http://schemas.microsoft.com/office/drawing/2014/main" id="{BE27F7FC-9A47-4629-9140-F5E1618AF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547688</xdr:colOff>
      <xdr:row>1</xdr:row>
      <xdr:rowOff>138112</xdr:rowOff>
    </xdr:from>
    <xdr:to>
      <xdr:col>14</xdr:col>
      <xdr:colOff>28576</xdr:colOff>
      <xdr:row>11</xdr:row>
      <xdr:rowOff>104775</xdr:rowOff>
    </xdr:to>
    <xdr:graphicFrame macro="">
      <xdr:nvGraphicFramePr>
        <xdr:cNvPr id="4" name="Chart 3">
          <a:extLst>
            <a:ext uri="{FF2B5EF4-FFF2-40B4-BE49-F238E27FC236}">
              <a16:creationId xmlns:a16="http://schemas.microsoft.com/office/drawing/2014/main" id="{3DC92C66-C7BC-42D2-B5CE-BCB6992BC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176212</xdr:colOff>
      <xdr:row>13</xdr:row>
      <xdr:rowOff>14287</xdr:rowOff>
    </xdr:from>
    <xdr:to>
      <xdr:col>8</xdr:col>
      <xdr:colOff>95250</xdr:colOff>
      <xdr:row>20</xdr:row>
      <xdr:rowOff>114300</xdr:rowOff>
    </xdr:to>
    <xdr:graphicFrame macro="">
      <xdr:nvGraphicFramePr>
        <xdr:cNvPr id="5" name="Chart 4">
          <a:extLst>
            <a:ext uri="{FF2B5EF4-FFF2-40B4-BE49-F238E27FC236}">
              <a16:creationId xmlns:a16="http://schemas.microsoft.com/office/drawing/2014/main" id="{14A32CCC-992A-4B22-A224-BBB3595A9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490537</xdr:colOff>
      <xdr:row>11</xdr:row>
      <xdr:rowOff>61912</xdr:rowOff>
    </xdr:from>
    <xdr:to>
      <xdr:col>14</xdr:col>
      <xdr:colOff>323850</xdr:colOff>
      <xdr:row>22</xdr:row>
      <xdr:rowOff>66675</xdr:rowOff>
    </xdr:to>
    <xdr:graphicFrame macro="">
      <xdr:nvGraphicFramePr>
        <xdr:cNvPr id="6" name="Chart 5">
          <a:extLst>
            <a:ext uri="{FF2B5EF4-FFF2-40B4-BE49-F238E27FC236}">
              <a16:creationId xmlns:a16="http://schemas.microsoft.com/office/drawing/2014/main" id="{750FD740-01CD-435D-87A4-19C5E92B1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380998</xdr:colOff>
      <xdr:row>21</xdr:row>
      <xdr:rowOff>176212</xdr:rowOff>
    </xdr:from>
    <xdr:to>
      <xdr:col>14</xdr:col>
      <xdr:colOff>219074</xdr:colOff>
      <xdr:row>32</xdr:row>
      <xdr:rowOff>95249</xdr:rowOff>
    </xdr:to>
    <xdr:graphicFrame macro="">
      <xdr:nvGraphicFramePr>
        <xdr:cNvPr id="7" name="Chart 6">
          <a:extLst>
            <a:ext uri="{FF2B5EF4-FFF2-40B4-BE49-F238E27FC236}">
              <a16:creationId xmlns:a16="http://schemas.microsoft.com/office/drawing/2014/main" id="{FBAD236E-C650-412E-ADC2-F9DD0912A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71437</xdr:colOff>
      <xdr:row>0</xdr:row>
      <xdr:rowOff>42862</xdr:rowOff>
    </xdr:from>
    <xdr:to>
      <xdr:col>5</xdr:col>
      <xdr:colOff>304800</xdr:colOff>
      <xdr:row>9</xdr:row>
      <xdr:rowOff>161925</xdr:rowOff>
    </xdr:to>
    <xdr:graphicFrame macro="">
      <xdr:nvGraphicFramePr>
        <xdr:cNvPr id="3" name="Chart 2">
          <a:extLst>
            <a:ext uri="{FF2B5EF4-FFF2-40B4-BE49-F238E27FC236}">
              <a16:creationId xmlns:a16="http://schemas.microsoft.com/office/drawing/2014/main" id="{E7EB663D-5481-4224-91DC-34B0B07A6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404812</xdr:colOff>
      <xdr:row>0</xdr:row>
      <xdr:rowOff>119062</xdr:rowOff>
    </xdr:from>
    <xdr:to>
      <xdr:col>10</xdr:col>
      <xdr:colOff>561975</xdr:colOff>
      <xdr:row>10</xdr:row>
      <xdr:rowOff>85725</xdr:rowOff>
    </xdr:to>
    <xdr:graphicFrame macro="">
      <xdr:nvGraphicFramePr>
        <xdr:cNvPr id="4" name="Chart 3">
          <a:extLst>
            <a:ext uri="{FF2B5EF4-FFF2-40B4-BE49-F238E27FC236}">
              <a16:creationId xmlns:a16="http://schemas.microsoft.com/office/drawing/2014/main" id="{DA483D05-12D1-4AEA-B9CE-DDB13E24C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157162</xdr:colOff>
      <xdr:row>10</xdr:row>
      <xdr:rowOff>4762</xdr:rowOff>
    </xdr:from>
    <xdr:to>
      <xdr:col>6</xdr:col>
      <xdr:colOff>285750</xdr:colOff>
      <xdr:row>20</xdr:row>
      <xdr:rowOff>76200</xdr:rowOff>
    </xdr:to>
    <xdr:graphicFrame macro="">
      <xdr:nvGraphicFramePr>
        <xdr:cNvPr id="5" name="Chart 4">
          <a:extLst>
            <a:ext uri="{FF2B5EF4-FFF2-40B4-BE49-F238E27FC236}">
              <a16:creationId xmlns:a16="http://schemas.microsoft.com/office/drawing/2014/main" id="{42799549-5EC4-42A1-A826-99340A84B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42862</xdr:colOff>
      <xdr:row>10</xdr:row>
      <xdr:rowOff>109537</xdr:rowOff>
    </xdr:from>
    <xdr:to>
      <xdr:col>11</xdr:col>
      <xdr:colOff>419100</xdr:colOff>
      <xdr:row>20</xdr:row>
      <xdr:rowOff>114300</xdr:rowOff>
    </xdr:to>
    <xdr:graphicFrame macro="">
      <xdr:nvGraphicFramePr>
        <xdr:cNvPr id="6" name="Chart 5">
          <a:extLst>
            <a:ext uri="{FF2B5EF4-FFF2-40B4-BE49-F238E27FC236}">
              <a16:creationId xmlns:a16="http://schemas.microsoft.com/office/drawing/2014/main" id="{03056D62-5E60-4D9C-A282-B97620D00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357187</xdr:colOff>
      <xdr:row>19</xdr:row>
      <xdr:rowOff>176212</xdr:rowOff>
    </xdr:from>
    <xdr:to>
      <xdr:col>6</xdr:col>
      <xdr:colOff>361950</xdr:colOff>
      <xdr:row>30</xdr:row>
      <xdr:rowOff>104775</xdr:rowOff>
    </xdr:to>
    <xdr:graphicFrame macro="">
      <xdr:nvGraphicFramePr>
        <xdr:cNvPr id="7" name="Chart 6">
          <a:extLst>
            <a:ext uri="{FF2B5EF4-FFF2-40B4-BE49-F238E27FC236}">
              <a16:creationId xmlns:a16="http://schemas.microsoft.com/office/drawing/2014/main" id="{F58E107D-66A6-4F31-BA7E-A5CB4B65A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2.333512847224" createdVersion="7" refreshedVersion="7" minRefreshableVersion="3" recordCount="200" xr:uid="{00000000-000A-0000-FFFF-FFFFF5000000}">
  <cacheSource type="worksheet">
    <worksheetSource name="tblDelivery"/>
  </cacheSource>
  <cacheFields count="22">
    <cacheField name="order_id" numFmtId="1">
      <sharedItems containsSemiMixedTypes="0" containsString="0" containsNumber="1" containsInteger="1" minValue="1" maxValue="200"/>
    </cacheField>
    <cacheField name="distance_km" numFmtId="2">
      <sharedItems containsSemiMixedTypes="0" containsString="0" containsNumber="1" minValue="0.53" maxValue="12"/>
    </cacheField>
    <cacheField name="delivery_time_min" numFmtId="0">
      <sharedItems containsSemiMixedTypes="0" containsString="0" containsNumber="1" minValue="2.4" maxValue="108.8"/>
    </cacheField>
    <cacheField name="traffic_level" numFmtId="49">
      <sharedItems count="3">
        <s v="High"/>
        <s v="Medium"/>
        <s v="Low"/>
      </sharedItems>
    </cacheField>
    <cacheField name="route_length_km" numFmtId="2">
      <sharedItems containsSemiMixedTypes="0" containsString="0" containsNumber="1" minValue="0.57999999999999996" maxValue="17.29"/>
    </cacheField>
    <cacheField name="delivery_mode" numFmtId="0">
      <sharedItems count="4">
        <s v="Bicycle"/>
        <s v="Car"/>
        <s v="Bike"/>
        <s v="Scooter"/>
      </sharedItems>
    </cacheField>
    <cacheField name="weather" numFmtId="0">
      <sharedItems count="4">
        <s v="Clear"/>
        <s v="Cloudy"/>
        <s v="Rainy"/>
        <s v="Windy"/>
      </sharedItems>
    </cacheField>
    <cacheField name="order_time" numFmtId="22">
      <sharedItems containsSemiMixedTypes="0" containsNonDate="0" containsDate="1" containsString="0" minDate="2025-01-01T08:03:00" maxDate="2025-01-04T18:58:00"/>
    </cacheField>
    <cacheField name="restaurant_zone" numFmtId="0">
      <sharedItems count="5">
        <s v="South"/>
        <s v="West"/>
        <s v="Central"/>
        <s v="North"/>
        <s v="East"/>
      </sharedItems>
    </cacheField>
    <cacheField name="customer_zone" numFmtId="0">
      <sharedItems count="5">
        <s v="North"/>
        <s v="Central"/>
        <s v="West"/>
        <s v="South"/>
        <s v="East"/>
      </sharedItems>
    </cacheField>
    <cacheField name="h_date" numFmtId="14">
      <sharedItems containsSemiMixedTypes="0" containsNonDate="0" containsDate="1" containsString="0" minDate="2025-01-01T00:00:00" maxDate="2025-01-05T00:00:00" count="4">
        <d v="2025-01-01T00:00:00"/>
        <d v="2025-01-03T00:00:00"/>
        <d v="2025-01-04T00:00:00"/>
        <d v="2025-01-02T00:00:00"/>
      </sharedItems>
    </cacheField>
    <cacheField name="h_hour" numFmtId="0">
      <sharedItems containsSemiMixedTypes="0" containsString="0" containsNumber="1" containsInteger="1" minValue="0" maxValue="23" count="24">
        <n v="15"/>
        <n v="0"/>
        <n v="17"/>
        <n v="14"/>
        <n v="16"/>
        <n v="9"/>
        <n v="21"/>
        <n v="8"/>
        <n v="6"/>
        <n v="5"/>
        <n v="18"/>
        <n v="4"/>
        <n v="2"/>
        <n v="11"/>
        <n v="1"/>
        <n v="7"/>
        <n v="12"/>
        <n v="3"/>
        <n v="10"/>
        <n v="20"/>
        <n v="22"/>
        <n v="23"/>
        <n v="13"/>
        <n v="19"/>
      </sharedItems>
    </cacheField>
    <cacheField name="On_time" numFmtId="0">
      <sharedItems containsSemiMixedTypes="0" containsString="0" containsNumber="1" containsInteger="1" minValue="0" maxValue="1"/>
    </cacheField>
    <cacheField name="h_include" numFmtId="0">
      <sharedItems containsSemiMixedTypes="0" containsString="0" containsNumber="1" containsInteger="1" minValue="1" maxValue="1"/>
    </cacheField>
    <cacheField name="h_visible" numFmtId="0">
      <sharedItems containsSemiMixedTypes="0" containsString="0" containsNumber="1" containsInteger="1" minValue="1" maxValue="1"/>
    </cacheField>
    <cacheField name="Distance Band" numFmtId="0">
      <sharedItems count="4">
        <s v="5 to 10 km"/>
        <s v="&lt; 2 km"/>
        <s v="10 km and above"/>
        <s v="2 to 5 km"/>
      </sharedItems>
    </cacheField>
    <cacheField name="Route Band" numFmtId="0">
      <sharedItems count="4">
        <s v="5 to 10 km"/>
        <s v="&lt;2 km"/>
        <s v="10 km and above"/>
        <s v="2 to 5 km"/>
      </sharedItems>
    </cacheField>
    <cacheField name="Column8" numFmtId="14">
      <sharedItems containsNonDate="0" containsString="0" containsBlank="1"/>
    </cacheField>
    <cacheField name="Column1" numFmtId="0">
      <sharedItems containsBlank="1" containsMixedTypes="1" containsNumber="1" containsInteger="1" minValue="45" maxValue="45"/>
    </cacheField>
    <cacheField name="Column2" numFmtId="0">
      <sharedItems containsNonDate="0" containsDate="1" containsString="0" containsBlank="1" minDate="1900-02-13T00:00:00" maxDate="1900-02-14T00:00:00"/>
    </cacheField>
    <cacheField name="Route Detour %" numFmtId="0" formula="route_length_km/distance_km-1" databaseField="0"/>
    <cacheField name="Avg. Speed" numFmtId="0" formula="distance_km/delivery_time_min*60" databaseField="0"/>
  </cacheFields>
  <extLst>
    <ext xmlns:x14="http://schemas.microsoft.com/office/spreadsheetml/2009/9/main" uri="{725AE2AE-9491-48be-B2B4-4EB974FC3084}">
      <x14:pivotCacheDefinition pivotCacheId="1998330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n v="7.97"/>
    <n v="63.8"/>
    <x v="0"/>
    <n v="9.75"/>
    <x v="0"/>
    <x v="0"/>
    <d v="2025-01-01T15:29:00"/>
    <x v="0"/>
    <x v="0"/>
    <x v="0"/>
    <x v="0"/>
    <n v="0"/>
    <n v="1"/>
    <n v="1"/>
    <x v="0"/>
    <x v="0"/>
    <m/>
    <s v="Time_Target"/>
    <d v="1900-02-13T00:00:00"/>
  </r>
  <r>
    <n v="2"/>
    <n v="0.9"/>
    <n v="7.6"/>
    <x v="0"/>
    <n v="1.28"/>
    <x v="1"/>
    <x v="1"/>
    <d v="2025-01-03T00:47:00"/>
    <x v="1"/>
    <x v="0"/>
    <x v="1"/>
    <x v="1"/>
    <n v="1"/>
    <n v="1"/>
    <n v="1"/>
    <x v="1"/>
    <x v="1"/>
    <m/>
    <n v="45"/>
    <m/>
  </r>
  <r>
    <n v="3"/>
    <n v="11.12"/>
    <n v="78"/>
    <x v="1"/>
    <n v="16.649999999999999"/>
    <x v="2"/>
    <x v="2"/>
    <d v="2025-01-04T17:32:00"/>
    <x v="0"/>
    <x v="1"/>
    <x v="2"/>
    <x v="2"/>
    <n v="0"/>
    <n v="1"/>
    <n v="1"/>
    <x v="2"/>
    <x v="2"/>
    <m/>
    <m/>
    <m/>
  </r>
  <r>
    <n v="4"/>
    <n v="4.9000000000000004"/>
    <n v="24.8"/>
    <x v="2"/>
    <n v="5.25"/>
    <x v="3"/>
    <x v="2"/>
    <d v="2025-01-01T14:12:00"/>
    <x v="2"/>
    <x v="1"/>
    <x v="0"/>
    <x v="3"/>
    <n v="1"/>
    <n v="1"/>
    <n v="1"/>
    <x v="3"/>
    <x v="0"/>
    <m/>
    <m/>
    <m/>
  </r>
  <r>
    <n v="5"/>
    <n v="10.039999999999999"/>
    <n v="56"/>
    <x v="0"/>
    <n v="11.34"/>
    <x v="1"/>
    <x v="2"/>
    <d v="2025-01-02T16:50:00"/>
    <x v="1"/>
    <x v="0"/>
    <x v="3"/>
    <x v="4"/>
    <n v="0"/>
    <n v="1"/>
    <n v="1"/>
    <x v="2"/>
    <x v="2"/>
    <m/>
    <m/>
    <m/>
  </r>
  <r>
    <n v="6"/>
    <n v="10.96"/>
    <n v="76.8"/>
    <x v="0"/>
    <n v="13.62"/>
    <x v="1"/>
    <x v="3"/>
    <d v="2025-01-02T09:56:00"/>
    <x v="1"/>
    <x v="0"/>
    <x v="3"/>
    <x v="5"/>
    <n v="0"/>
    <n v="1"/>
    <n v="1"/>
    <x v="2"/>
    <x v="2"/>
    <m/>
    <m/>
    <m/>
  </r>
  <r>
    <n v="7"/>
    <n v="9.6"/>
    <n v="54.4"/>
    <x v="2"/>
    <n v="13.32"/>
    <x v="2"/>
    <x v="3"/>
    <d v="2025-01-03T00:29:00"/>
    <x v="2"/>
    <x v="0"/>
    <x v="1"/>
    <x v="1"/>
    <n v="0"/>
    <n v="1"/>
    <n v="1"/>
    <x v="0"/>
    <x v="2"/>
    <m/>
    <m/>
    <m/>
  </r>
  <r>
    <n v="8"/>
    <n v="6.24"/>
    <n v="52.9"/>
    <x v="2"/>
    <n v="8.41"/>
    <x v="2"/>
    <x v="1"/>
    <d v="2025-01-02T21:36:00"/>
    <x v="0"/>
    <x v="1"/>
    <x v="3"/>
    <x v="6"/>
    <n v="0"/>
    <n v="1"/>
    <n v="1"/>
    <x v="0"/>
    <x v="0"/>
    <m/>
    <m/>
    <m/>
  </r>
  <r>
    <n v="9"/>
    <n v="9.98"/>
    <n v="81.400000000000006"/>
    <x v="1"/>
    <n v="14.87"/>
    <x v="0"/>
    <x v="2"/>
    <d v="2025-01-01T08:19:00"/>
    <x v="2"/>
    <x v="2"/>
    <x v="0"/>
    <x v="7"/>
    <n v="0"/>
    <n v="1"/>
    <n v="1"/>
    <x v="0"/>
    <x v="2"/>
    <m/>
    <m/>
    <m/>
  </r>
  <r>
    <n v="10"/>
    <n v="2.48"/>
    <n v="17.100000000000001"/>
    <x v="0"/>
    <n v="3.38"/>
    <x v="1"/>
    <x v="3"/>
    <d v="2025-01-01T09:28:00"/>
    <x v="0"/>
    <x v="0"/>
    <x v="0"/>
    <x v="5"/>
    <n v="1"/>
    <n v="1"/>
    <n v="1"/>
    <x v="3"/>
    <x v="3"/>
    <m/>
    <m/>
    <m/>
  </r>
  <r>
    <n v="11"/>
    <n v="7.23"/>
    <n v="47.7"/>
    <x v="1"/>
    <n v="7.63"/>
    <x v="2"/>
    <x v="2"/>
    <d v="2025-01-03T15:24:00"/>
    <x v="1"/>
    <x v="1"/>
    <x v="1"/>
    <x v="0"/>
    <n v="0"/>
    <n v="1"/>
    <n v="1"/>
    <x v="0"/>
    <x v="0"/>
    <m/>
    <m/>
    <m/>
  </r>
  <r>
    <n v="12"/>
    <n v="6.65"/>
    <n v="27.8"/>
    <x v="0"/>
    <n v="6.69"/>
    <x v="2"/>
    <x v="2"/>
    <d v="2025-01-03T06:47:00"/>
    <x v="2"/>
    <x v="2"/>
    <x v="1"/>
    <x v="8"/>
    <n v="1"/>
    <n v="1"/>
    <n v="1"/>
    <x v="0"/>
    <x v="0"/>
    <m/>
    <m/>
    <m/>
  </r>
  <r>
    <n v="13"/>
    <n v="11.42"/>
    <n v="83.4"/>
    <x v="1"/>
    <n v="13.97"/>
    <x v="1"/>
    <x v="2"/>
    <d v="2025-01-03T05:24:00"/>
    <x v="2"/>
    <x v="3"/>
    <x v="1"/>
    <x v="9"/>
    <n v="0"/>
    <n v="1"/>
    <n v="1"/>
    <x v="2"/>
    <x v="2"/>
    <m/>
    <m/>
    <m/>
  </r>
  <r>
    <n v="14"/>
    <n v="1.26"/>
    <n v="9.9"/>
    <x v="2"/>
    <n v="1.55"/>
    <x v="0"/>
    <x v="3"/>
    <d v="2025-01-03T18:37:00"/>
    <x v="0"/>
    <x v="0"/>
    <x v="1"/>
    <x v="10"/>
    <n v="1"/>
    <n v="1"/>
    <n v="1"/>
    <x v="1"/>
    <x v="1"/>
    <m/>
    <m/>
    <m/>
  </r>
  <r>
    <n v="15"/>
    <n v="9.8800000000000008"/>
    <n v="56.6"/>
    <x v="1"/>
    <n v="12.45"/>
    <x v="2"/>
    <x v="1"/>
    <d v="2025-01-03T04:12:00"/>
    <x v="3"/>
    <x v="1"/>
    <x v="1"/>
    <x v="11"/>
    <n v="0"/>
    <n v="1"/>
    <n v="1"/>
    <x v="0"/>
    <x v="2"/>
    <m/>
    <m/>
    <m/>
  </r>
  <r>
    <n v="16"/>
    <n v="4.6900000000000004"/>
    <n v="23.2"/>
    <x v="2"/>
    <n v="4.8600000000000003"/>
    <x v="3"/>
    <x v="0"/>
    <d v="2025-01-04T04:16:00"/>
    <x v="3"/>
    <x v="0"/>
    <x v="2"/>
    <x v="11"/>
    <n v="1"/>
    <n v="1"/>
    <n v="1"/>
    <x v="3"/>
    <x v="3"/>
    <m/>
    <m/>
    <m/>
  </r>
  <r>
    <n v="17"/>
    <n v="7.27"/>
    <n v="34.9"/>
    <x v="0"/>
    <n v="8.66"/>
    <x v="3"/>
    <x v="1"/>
    <d v="2025-01-03T14:38:00"/>
    <x v="2"/>
    <x v="2"/>
    <x v="1"/>
    <x v="3"/>
    <n v="1"/>
    <n v="1"/>
    <n v="1"/>
    <x v="0"/>
    <x v="0"/>
    <m/>
    <m/>
    <m/>
  </r>
  <r>
    <n v="18"/>
    <n v="10.19"/>
    <n v="60.2"/>
    <x v="0"/>
    <n v="10.24"/>
    <x v="1"/>
    <x v="3"/>
    <d v="2025-01-03T02:11:00"/>
    <x v="3"/>
    <x v="3"/>
    <x v="1"/>
    <x v="12"/>
    <n v="0"/>
    <n v="1"/>
    <n v="1"/>
    <x v="2"/>
    <x v="2"/>
    <m/>
    <m/>
    <m/>
  </r>
  <r>
    <n v="19"/>
    <n v="2.11"/>
    <n v="9.1999999999999993"/>
    <x v="1"/>
    <n v="2.23"/>
    <x v="3"/>
    <x v="2"/>
    <d v="2025-01-02T17:10:00"/>
    <x v="2"/>
    <x v="0"/>
    <x v="3"/>
    <x v="2"/>
    <n v="1"/>
    <n v="1"/>
    <n v="1"/>
    <x v="3"/>
    <x v="3"/>
    <m/>
    <m/>
    <m/>
  </r>
  <r>
    <n v="20"/>
    <n v="3.12"/>
    <n v="18"/>
    <x v="0"/>
    <n v="3.41"/>
    <x v="0"/>
    <x v="3"/>
    <d v="2025-01-04T08:23:00"/>
    <x v="0"/>
    <x v="1"/>
    <x v="2"/>
    <x v="7"/>
    <n v="1"/>
    <n v="1"/>
    <n v="1"/>
    <x v="3"/>
    <x v="3"/>
    <m/>
    <m/>
    <m/>
  </r>
  <r>
    <n v="21"/>
    <n v="8.2200000000000006"/>
    <n v="50.4"/>
    <x v="2"/>
    <n v="10.42"/>
    <x v="2"/>
    <x v="3"/>
    <d v="2025-01-01T08:26:00"/>
    <x v="4"/>
    <x v="3"/>
    <x v="0"/>
    <x v="7"/>
    <n v="0"/>
    <n v="1"/>
    <n v="1"/>
    <x v="0"/>
    <x v="2"/>
    <m/>
    <m/>
    <m/>
  </r>
  <r>
    <n v="22"/>
    <n v="8.1300000000000008"/>
    <n v="46"/>
    <x v="0"/>
    <n v="9.43"/>
    <x v="1"/>
    <x v="3"/>
    <d v="2025-01-03T11:13:00"/>
    <x v="2"/>
    <x v="1"/>
    <x v="1"/>
    <x v="13"/>
    <n v="0"/>
    <n v="1"/>
    <n v="1"/>
    <x v="0"/>
    <x v="0"/>
    <m/>
    <m/>
    <m/>
  </r>
  <r>
    <n v="23"/>
    <n v="0.54"/>
    <n v="2.4"/>
    <x v="1"/>
    <n v="0.57999999999999996"/>
    <x v="3"/>
    <x v="2"/>
    <d v="2025-01-02T09:43:00"/>
    <x v="0"/>
    <x v="4"/>
    <x v="3"/>
    <x v="5"/>
    <n v="1"/>
    <n v="1"/>
    <n v="1"/>
    <x v="1"/>
    <x v="1"/>
    <m/>
    <m/>
    <m/>
  </r>
  <r>
    <n v="24"/>
    <n v="5.15"/>
    <n v="33.700000000000003"/>
    <x v="1"/>
    <n v="7.3"/>
    <x v="0"/>
    <x v="3"/>
    <d v="2025-01-04T18:58:00"/>
    <x v="0"/>
    <x v="2"/>
    <x v="2"/>
    <x v="10"/>
    <n v="1"/>
    <n v="1"/>
    <n v="1"/>
    <x v="0"/>
    <x v="0"/>
    <m/>
    <m/>
    <m/>
  </r>
  <r>
    <n v="25"/>
    <n v="0.53"/>
    <n v="2.9"/>
    <x v="2"/>
    <n v="0.62"/>
    <x v="2"/>
    <x v="1"/>
    <d v="2025-01-04T04:12:00"/>
    <x v="1"/>
    <x v="1"/>
    <x v="2"/>
    <x v="11"/>
    <n v="1"/>
    <n v="1"/>
    <n v="1"/>
    <x v="1"/>
    <x v="1"/>
    <m/>
    <m/>
    <m/>
  </r>
  <r>
    <n v="26"/>
    <n v="4.2300000000000004"/>
    <n v="26.1"/>
    <x v="1"/>
    <n v="4.97"/>
    <x v="1"/>
    <x v="3"/>
    <d v="2025-01-02T15:05:00"/>
    <x v="1"/>
    <x v="1"/>
    <x v="3"/>
    <x v="0"/>
    <n v="1"/>
    <n v="1"/>
    <n v="1"/>
    <x v="3"/>
    <x v="3"/>
    <m/>
    <m/>
    <m/>
  </r>
  <r>
    <n v="27"/>
    <n v="8.5299999999999994"/>
    <n v="44.4"/>
    <x v="0"/>
    <n v="9.26"/>
    <x v="0"/>
    <x v="1"/>
    <d v="2025-01-02T08:16:00"/>
    <x v="2"/>
    <x v="4"/>
    <x v="3"/>
    <x v="7"/>
    <n v="1"/>
    <n v="1"/>
    <n v="1"/>
    <x v="0"/>
    <x v="0"/>
    <m/>
    <m/>
    <m/>
  </r>
  <r>
    <n v="28"/>
    <n v="3.65"/>
    <n v="21.2"/>
    <x v="2"/>
    <n v="5.2"/>
    <x v="0"/>
    <x v="3"/>
    <d v="2025-01-01T18:14:00"/>
    <x v="0"/>
    <x v="2"/>
    <x v="0"/>
    <x v="10"/>
    <n v="1"/>
    <n v="1"/>
    <n v="1"/>
    <x v="3"/>
    <x v="0"/>
    <m/>
    <m/>
    <m/>
  </r>
  <r>
    <n v="29"/>
    <n v="5.59"/>
    <n v="38"/>
    <x v="1"/>
    <n v="7.34"/>
    <x v="2"/>
    <x v="0"/>
    <d v="2025-01-04T00:07:00"/>
    <x v="0"/>
    <x v="1"/>
    <x v="2"/>
    <x v="1"/>
    <n v="1"/>
    <n v="1"/>
    <n v="1"/>
    <x v="0"/>
    <x v="0"/>
    <m/>
    <m/>
    <m/>
  </r>
  <r>
    <n v="30"/>
    <n v="2.65"/>
    <n v="19.3"/>
    <x v="1"/>
    <n v="2.97"/>
    <x v="1"/>
    <x v="2"/>
    <d v="2025-01-04T08:38:00"/>
    <x v="1"/>
    <x v="4"/>
    <x v="2"/>
    <x v="7"/>
    <n v="1"/>
    <n v="1"/>
    <n v="1"/>
    <x v="3"/>
    <x v="3"/>
    <m/>
    <m/>
    <m/>
  </r>
  <r>
    <n v="31"/>
    <n v="6.37"/>
    <n v="28.9"/>
    <x v="0"/>
    <n v="7.17"/>
    <x v="2"/>
    <x v="2"/>
    <d v="2025-01-04T01:52:00"/>
    <x v="0"/>
    <x v="4"/>
    <x v="2"/>
    <x v="14"/>
    <n v="1"/>
    <n v="1"/>
    <n v="1"/>
    <x v="0"/>
    <x v="0"/>
    <m/>
    <m/>
    <m/>
  </r>
  <r>
    <n v="32"/>
    <n v="3.14"/>
    <n v="18.8"/>
    <x v="0"/>
    <n v="4.33"/>
    <x v="3"/>
    <x v="0"/>
    <d v="2025-01-01T08:05:00"/>
    <x v="1"/>
    <x v="3"/>
    <x v="0"/>
    <x v="7"/>
    <n v="1"/>
    <n v="1"/>
    <n v="1"/>
    <x v="3"/>
    <x v="3"/>
    <m/>
    <m/>
    <m/>
  </r>
  <r>
    <n v="33"/>
    <n v="7.31"/>
    <n v="36.299999999999997"/>
    <x v="1"/>
    <n v="7.88"/>
    <x v="2"/>
    <x v="3"/>
    <d v="2025-01-03T05:17:00"/>
    <x v="2"/>
    <x v="0"/>
    <x v="1"/>
    <x v="9"/>
    <n v="1"/>
    <n v="1"/>
    <n v="1"/>
    <x v="0"/>
    <x v="0"/>
    <m/>
    <m/>
    <m/>
  </r>
  <r>
    <n v="34"/>
    <n v="11.99"/>
    <n v="58.2"/>
    <x v="1"/>
    <n v="13.31"/>
    <x v="0"/>
    <x v="1"/>
    <d v="2025-01-02T17:40:00"/>
    <x v="1"/>
    <x v="3"/>
    <x v="3"/>
    <x v="2"/>
    <n v="0"/>
    <n v="1"/>
    <n v="1"/>
    <x v="2"/>
    <x v="2"/>
    <m/>
    <m/>
    <m/>
  </r>
  <r>
    <n v="35"/>
    <n v="2.65"/>
    <n v="19.5"/>
    <x v="2"/>
    <n v="2.96"/>
    <x v="1"/>
    <x v="0"/>
    <d v="2025-01-04T07:37:00"/>
    <x v="3"/>
    <x v="1"/>
    <x v="2"/>
    <x v="15"/>
    <n v="1"/>
    <n v="1"/>
    <n v="1"/>
    <x v="3"/>
    <x v="3"/>
    <m/>
    <m/>
    <m/>
  </r>
  <r>
    <n v="36"/>
    <n v="3.25"/>
    <n v="21.3"/>
    <x v="0"/>
    <n v="3.81"/>
    <x v="2"/>
    <x v="1"/>
    <d v="2025-01-02T04:12:00"/>
    <x v="3"/>
    <x v="0"/>
    <x v="3"/>
    <x v="11"/>
    <n v="1"/>
    <n v="1"/>
    <n v="1"/>
    <x v="3"/>
    <x v="3"/>
    <m/>
    <m/>
    <m/>
  </r>
  <r>
    <n v="37"/>
    <n v="2.97"/>
    <n v="23.1"/>
    <x v="0"/>
    <n v="3.43"/>
    <x v="3"/>
    <x v="0"/>
    <d v="2025-01-03T12:47:00"/>
    <x v="1"/>
    <x v="1"/>
    <x v="1"/>
    <x v="16"/>
    <n v="1"/>
    <n v="1"/>
    <n v="1"/>
    <x v="3"/>
    <x v="3"/>
    <m/>
    <m/>
    <m/>
  </r>
  <r>
    <n v="38"/>
    <n v="4.47"/>
    <n v="25.8"/>
    <x v="0"/>
    <n v="5.16"/>
    <x v="2"/>
    <x v="1"/>
    <d v="2025-01-02T02:07:00"/>
    <x v="3"/>
    <x v="4"/>
    <x v="3"/>
    <x v="12"/>
    <n v="1"/>
    <n v="1"/>
    <n v="1"/>
    <x v="3"/>
    <x v="0"/>
    <m/>
    <m/>
    <m/>
  </r>
  <r>
    <n v="39"/>
    <n v="3.24"/>
    <n v="26"/>
    <x v="2"/>
    <n v="4.16"/>
    <x v="2"/>
    <x v="0"/>
    <d v="2025-01-03T15:47:00"/>
    <x v="1"/>
    <x v="1"/>
    <x v="1"/>
    <x v="0"/>
    <n v="1"/>
    <n v="1"/>
    <n v="1"/>
    <x v="3"/>
    <x v="3"/>
    <m/>
    <m/>
    <m/>
  </r>
  <r>
    <n v="40"/>
    <n v="6.75"/>
    <n v="49.5"/>
    <x v="2"/>
    <n v="7.19"/>
    <x v="3"/>
    <x v="2"/>
    <d v="2025-01-03T03:42:00"/>
    <x v="2"/>
    <x v="3"/>
    <x v="1"/>
    <x v="17"/>
    <n v="0"/>
    <n v="1"/>
    <n v="1"/>
    <x v="0"/>
    <x v="0"/>
    <m/>
    <m/>
    <m/>
  </r>
  <r>
    <n v="41"/>
    <n v="9.7200000000000006"/>
    <n v="44.8"/>
    <x v="1"/>
    <n v="10.210000000000001"/>
    <x v="0"/>
    <x v="1"/>
    <d v="2025-01-04T08:55:00"/>
    <x v="0"/>
    <x v="1"/>
    <x v="2"/>
    <x v="7"/>
    <n v="1"/>
    <n v="1"/>
    <n v="1"/>
    <x v="0"/>
    <x v="2"/>
    <m/>
    <m/>
    <m/>
  </r>
  <r>
    <n v="42"/>
    <n v="7.62"/>
    <n v="59.5"/>
    <x v="1"/>
    <n v="10.27"/>
    <x v="3"/>
    <x v="1"/>
    <d v="2025-01-04T10:59:00"/>
    <x v="1"/>
    <x v="0"/>
    <x v="2"/>
    <x v="18"/>
    <n v="0"/>
    <n v="1"/>
    <n v="1"/>
    <x v="0"/>
    <x v="2"/>
    <m/>
    <m/>
    <m/>
  </r>
  <r>
    <n v="43"/>
    <n v="2.16"/>
    <n v="10"/>
    <x v="0"/>
    <n v="2.2599999999999998"/>
    <x v="3"/>
    <x v="2"/>
    <d v="2025-01-04T12:47:00"/>
    <x v="4"/>
    <x v="4"/>
    <x v="2"/>
    <x v="16"/>
    <n v="1"/>
    <n v="1"/>
    <n v="1"/>
    <x v="3"/>
    <x v="3"/>
    <m/>
    <m/>
    <m/>
  </r>
  <r>
    <n v="44"/>
    <n v="10.77"/>
    <n v="87.3"/>
    <x v="0"/>
    <n v="13.53"/>
    <x v="1"/>
    <x v="3"/>
    <d v="2025-01-04T09:38:00"/>
    <x v="1"/>
    <x v="4"/>
    <x v="2"/>
    <x v="5"/>
    <n v="0"/>
    <n v="1"/>
    <n v="1"/>
    <x v="2"/>
    <x v="2"/>
    <m/>
    <m/>
    <m/>
  </r>
  <r>
    <n v="45"/>
    <n v="5.26"/>
    <n v="39.299999999999997"/>
    <x v="1"/>
    <n v="6.47"/>
    <x v="2"/>
    <x v="3"/>
    <d v="2025-01-02T04:57:00"/>
    <x v="3"/>
    <x v="2"/>
    <x v="3"/>
    <x v="11"/>
    <n v="1"/>
    <n v="1"/>
    <n v="1"/>
    <x v="0"/>
    <x v="0"/>
    <m/>
    <m/>
    <m/>
  </r>
  <r>
    <n v="46"/>
    <n v="4.24"/>
    <n v="30"/>
    <x v="0"/>
    <n v="4.33"/>
    <x v="1"/>
    <x v="2"/>
    <d v="2025-01-03T03:35:00"/>
    <x v="0"/>
    <x v="0"/>
    <x v="1"/>
    <x v="17"/>
    <n v="1"/>
    <n v="1"/>
    <n v="1"/>
    <x v="3"/>
    <x v="3"/>
    <m/>
    <m/>
    <m/>
  </r>
  <r>
    <n v="47"/>
    <n v="9.56"/>
    <n v="60.9"/>
    <x v="2"/>
    <n v="12.64"/>
    <x v="3"/>
    <x v="2"/>
    <d v="2025-01-03T10:49:00"/>
    <x v="2"/>
    <x v="1"/>
    <x v="1"/>
    <x v="18"/>
    <n v="0"/>
    <n v="1"/>
    <n v="1"/>
    <x v="0"/>
    <x v="2"/>
    <m/>
    <m/>
    <m/>
  </r>
  <r>
    <n v="48"/>
    <n v="2.44"/>
    <n v="15.1"/>
    <x v="0"/>
    <n v="2.92"/>
    <x v="0"/>
    <x v="3"/>
    <d v="2025-01-03T15:05:00"/>
    <x v="0"/>
    <x v="1"/>
    <x v="1"/>
    <x v="0"/>
    <n v="1"/>
    <n v="1"/>
    <n v="1"/>
    <x v="3"/>
    <x v="3"/>
    <m/>
    <m/>
    <m/>
  </r>
  <r>
    <n v="49"/>
    <n v="4.4000000000000004"/>
    <n v="23.9"/>
    <x v="0"/>
    <n v="4.82"/>
    <x v="3"/>
    <x v="1"/>
    <d v="2025-01-02T03:19:00"/>
    <x v="2"/>
    <x v="1"/>
    <x v="3"/>
    <x v="17"/>
    <n v="1"/>
    <n v="1"/>
    <n v="1"/>
    <x v="3"/>
    <x v="3"/>
    <m/>
    <m/>
    <m/>
  </r>
  <r>
    <n v="50"/>
    <n v="3.21"/>
    <n v="20.100000000000001"/>
    <x v="2"/>
    <n v="4.57"/>
    <x v="2"/>
    <x v="2"/>
    <d v="2025-01-02T20:04:00"/>
    <x v="4"/>
    <x v="4"/>
    <x v="3"/>
    <x v="19"/>
    <n v="1"/>
    <n v="1"/>
    <n v="1"/>
    <x v="3"/>
    <x v="3"/>
    <m/>
    <m/>
    <m/>
  </r>
  <r>
    <n v="51"/>
    <n v="10.24"/>
    <n v="65.099999999999994"/>
    <x v="0"/>
    <n v="12.4"/>
    <x v="2"/>
    <x v="0"/>
    <d v="2025-01-03T07:10:00"/>
    <x v="4"/>
    <x v="0"/>
    <x v="1"/>
    <x v="15"/>
    <n v="0"/>
    <n v="1"/>
    <n v="1"/>
    <x v="2"/>
    <x v="2"/>
    <m/>
    <m/>
    <m/>
  </r>
  <r>
    <n v="52"/>
    <n v="2.63"/>
    <n v="19.7"/>
    <x v="2"/>
    <n v="2.98"/>
    <x v="3"/>
    <x v="1"/>
    <d v="2025-01-03T11:05:00"/>
    <x v="2"/>
    <x v="3"/>
    <x v="1"/>
    <x v="13"/>
    <n v="1"/>
    <n v="1"/>
    <n v="1"/>
    <x v="3"/>
    <x v="3"/>
    <m/>
    <m/>
    <m/>
  </r>
  <r>
    <n v="53"/>
    <n v="11.55"/>
    <n v="78.099999999999994"/>
    <x v="2"/>
    <n v="14.7"/>
    <x v="2"/>
    <x v="2"/>
    <d v="2025-01-02T08:12:00"/>
    <x v="4"/>
    <x v="4"/>
    <x v="3"/>
    <x v="7"/>
    <n v="0"/>
    <n v="1"/>
    <n v="1"/>
    <x v="2"/>
    <x v="2"/>
    <m/>
    <m/>
    <m/>
  </r>
  <r>
    <n v="54"/>
    <n v="1.36"/>
    <n v="11.7"/>
    <x v="2"/>
    <n v="1.82"/>
    <x v="2"/>
    <x v="2"/>
    <d v="2025-01-04T17:09:00"/>
    <x v="3"/>
    <x v="2"/>
    <x v="2"/>
    <x v="2"/>
    <n v="1"/>
    <n v="1"/>
    <n v="1"/>
    <x v="1"/>
    <x v="1"/>
    <m/>
    <m/>
    <m/>
  </r>
  <r>
    <n v="55"/>
    <n v="1.74"/>
    <n v="12.5"/>
    <x v="2"/>
    <n v="2.59"/>
    <x v="3"/>
    <x v="2"/>
    <d v="2025-01-04T15:37:00"/>
    <x v="2"/>
    <x v="3"/>
    <x v="2"/>
    <x v="0"/>
    <n v="1"/>
    <n v="1"/>
    <n v="1"/>
    <x v="1"/>
    <x v="3"/>
    <m/>
    <m/>
    <m/>
  </r>
  <r>
    <n v="56"/>
    <n v="1.1200000000000001"/>
    <n v="7.3"/>
    <x v="2"/>
    <n v="1.44"/>
    <x v="1"/>
    <x v="2"/>
    <d v="2025-01-02T18:14:00"/>
    <x v="3"/>
    <x v="2"/>
    <x v="3"/>
    <x v="10"/>
    <n v="1"/>
    <n v="1"/>
    <n v="1"/>
    <x v="1"/>
    <x v="1"/>
    <m/>
    <m/>
    <m/>
  </r>
  <r>
    <n v="57"/>
    <n v="8.89"/>
    <n v="61.8"/>
    <x v="1"/>
    <n v="8.98"/>
    <x v="2"/>
    <x v="3"/>
    <d v="2025-01-04T03:49:00"/>
    <x v="2"/>
    <x v="3"/>
    <x v="2"/>
    <x v="17"/>
    <n v="0"/>
    <n v="1"/>
    <n v="1"/>
    <x v="0"/>
    <x v="0"/>
    <m/>
    <m/>
    <m/>
  </r>
  <r>
    <n v="58"/>
    <n v="9.08"/>
    <n v="58.1"/>
    <x v="0"/>
    <n v="13.32"/>
    <x v="1"/>
    <x v="1"/>
    <d v="2025-01-02T09:49:00"/>
    <x v="2"/>
    <x v="3"/>
    <x v="3"/>
    <x v="5"/>
    <n v="0"/>
    <n v="1"/>
    <n v="1"/>
    <x v="0"/>
    <x v="2"/>
    <m/>
    <m/>
    <m/>
  </r>
  <r>
    <n v="59"/>
    <n v="11.61"/>
    <n v="71.599999999999994"/>
    <x v="2"/>
    <n v="12.17"/>
    <x v="3"/>
    <x v="1"/>
    <d v="2025-01-01T14:54:00"/>
    <x v="1"/>
    <x v="1"/>
    <x v="0"/>
    <x v="3"/>
    <n v="0"/>
    <n v="1"/>
    <n v="1"/>
    <x v="2"/>
    <x v="2"/>
    <m/>
    <m/>
    <m/>
  </r>
  <r>
    <n v="60"/>
    <n v="1.62"/>
    <n v="8.3000000000000007"/>
    <x v="1"/>
    <n v="2.06"/>
    <x v="2"/>
    <x v="3"/>
    <d v="2025-01-02T16:20:00"/>
    <x v="1"/>
    <x v="0"/>
    <x v="3"/>
    <x v="4"/>
    <n v="1"/>
    <n v="1"/>
    <n v="1"/>
    <x v="1"/>
    <x v="3"/>
    <m/>
    <m/>
    <m/>
  </r>
  <r>
    <n v="61"/>
    <n v="10.63"/>
    <n v="68.900000000000006"/>
    <x v="2"/>
    <n v="13.85"/>
    <x v="0"/>
    <x v="1"/>
    <d v="2025-01-01T16:17:00"/>
    <x v="2"/>
    <x v="1"/>
    <x v="0"/>
    <x v="4"/>
    <n v="0"/>
    <n v="1"/>
    <n v="1"/>
    <x v="2"/>
    <x v="2"/>
    <m/>
    <m/>
    <m/>
  </r>
  <r>
    <n v="62"/>
    <n v="10.54"/>
    <n v="80"/>
    <x v="0"/>
    <n v="12.64"/>
    <x v="0"/>
    <x v="3"/>
    <d v="2025-01-03T06:48:00"/>
    <x v="3"/>
    <x v="3"/>
    <x v="1"/>
    <x v="8"/>
    <n v="0"/>
    <n v="1"/>
    <n v="1"/>
    <x v="2"/>
    <x v="2"/>
    <m/>
    <m/>
    <m/>
  </r>
  <r>
    <n v="63"/>
    <n v="9.33"/>
    <n v="74.8"/>
    <x v="1"/>
    <n v="11.26"/>
    <x v="3"/>
    <x v="0"/>
    <d v="2025-01-02T22:25:00"/>
    <x v="4"/>
    <x v="4"/>
    <x v="3"/>
    <x v="20"/>
    <n v="0"/>
    <n v="1"/>
    <n v="1"/>
    <x v="0"/>
    <x v="2"/>
    <m/>
    <m/>
    <m/>
  </r>
  <r>
    <n v="64"/>
    <n v="5.41"/>
    <n v="28.6"/>
    <x v="2"/>
    <n v="5.43"/>
    <x v="0"/>
    <x v="2"/>
    <d v="2025-01-02T06:31:00"/>
    <x v="3"/>
    <x v="0"/>
    <x v="3"/>
    <x v="8"/>
    <n v="1"/>
    <n v="1"/>
    <n v="1"/>
    <x v="0"/>
    <x v="0"/>
    <m/>
    <m/>
    <m/>
  </r>
  <r>
    <n v="65"/>
    <n v="10.78"/>
    <n v="97.1"/>
    <x v="2"/>
    <n v="14.1"/>
    <x v="1"/>
    <x v="3"/>
    <d v="2025-01-03T16:54:00"/>
    <x v="1"/>
    <x v="0"/>
    <x v="1"/>
    <x v="4"/>
    <n v="0"/>
    <n v="1"/>
    <n v="1"/>
    <x v="2"/>
    <x v="2"/>
    <m/>
    <m/>
    <m/>
  </r>
  <r>
    <n v="66"/>
    <n v="9.0500000000000007"/>
    <n v="76.900000000000006"/>
    <x v="1"/>
    <n v="11.45"/>
    <x v="0"/>
    <x v="1"/>
    <d v="2025-01-03T01:43:00"/>
    <x v="4"/>
    <x v="4"/>
    <x v="1"/>
    <x v="14"/>
    <n v="0"/>
    <n v="1"/>
    <n v="1"/>
    <x v="0"/>
    <x v="2"/>
    <m/>
    <m/>
    <m/>
  </r>
  <r>
    <n v="67"/>
    <n v="9.92"/>
    <n v="68.5"/>
    <x v="1"/>
    <n v="10.130000000000001"/>
    <x v="3"/>
    <x v="1"/>
    <d v="2025-01-03T02:54:00"/>
    <x v="2"/>
    <x v="4"/>
    <x v="1"/>
    <x v="12"/>
    <n v="0"/>
    <n v="1"/>
    <n v="1"/>
    <x v="0"/>
    <x v="2"/>
    <m/>
    <m/>
    <m/>
  </r>
  <r>
    <n v="68"/>
    <n v="8.0399999999999991"/>
    <n v="49.1"/>
    <x v="1"/>
    <n v="11.13"/>
    <x v="3"/>
    <x v="3"/>
    <d v="2025-01-04T08:14:00"/>
    <x v="4"/>
    <x v="4"/>
    <x v="2"/>
    <x v="7"/>
    <n v="0"/>
    <n v="1"/>
    <n v="1"/>
    <x v="0"/>
    <x v="2"/>
    <m/>
    <m/>
    <m/>
  </r>
  <r>
    <n v="69"/>
    <n v="6.4"/>
    <n v="43.2"/>
    <x v="1"/>
    <n v="9"/>
    <x v="0"/>
    <x v="1"/>
    <d v="2025-01-03T02:52:00"/>
    <x v="2"/>
    <x v="0"/>
    <x v="1"/>
    <x v="12"/>
    <n v="1"/>
    <n v="1"/>
    <n v="1"/>
    <x v="0"/>
    <x v="0"/>
    <m/>
    <m/>
    <m/>
  </r>
  <r>
    <n v="70"/>
    <n v="2.59"/>
    <n v="20.3"/>
    <x v="1"/>
    <n v="3.16"/>
    <x v="2"/>
    <x v="3"/>
    <d v="2025-01-04T17:53:00"/>
    <x v="1"/>
    <x v="4"/>
    <x v="2"/>
    <x v="2"/>
    <n v="1"/>
    <n v="1"/>
    <n v="1"/>
    <x v="3"/>
    <x v="3"/>
    <m/>
    <m/>
    <m/>
  </r>
  <r>
    <n v="71"/>
    <n v="2.63"/>
    <n v="14.6"/>
    <x v="1"/>
    <n v="3.35"/>
    <x v="0"/>
    <x v="2"/>
    <d v="2025-01-03T10:29:00"/>
    <x v="1"/>
    <x v="0"/>
    <x v="1"/>
    <x v="18"/>
    <n v="1"/>
    <n v="1"/>
    <n v="1"/>
    <x v="3"/>
    <x v="3"/>
    <m/>
    <m/>
    <m/>
  </r>
  <r>
    <n v="72"/>
    <n v="6.83"/>
    <n v="37.6"/>
    <x v="0"/>
    <n v="8.36"/>
    <x v="0"/>
    <x v="0"/>
    <d v="2025-01-02T10:07:00"/>
    <x v="1"/>
    <x v="1"/>
    <x v="3"/>
    <x v="18"/>
    <n v="1"/>
    <n v="1"/>
    <n v="1"/>
    <x v="0"/>
    <x v="0"/>
    <m/>
    <m/>
    <m/>
  </r>
  <r>
    <n v="73"/>
    <n v="10.119999999999999"/>
    <n v="64.099999999999994"/>
    <x v="2"/>
    <n v="11.5"/>
    <x v="3"/>
    <x v="0"/>
    <d v="2025-01-03T20:37:00"/>
    <x v="1"/>
    <x v="2"/>
    <x v="1"/>
    <x v="19"/>
    <n v="0"/>
    <n v="1"/>
    <n v="1"/>
    <x v="2"/>
    <x v="2"/>
    <m/>
    <m/>
    <m/>
  </r>
  <r>
    <n v="74"/>
    <n v="5.77"/>
    <n v="44.5"/>
    <x v="1"/>
    <n v="7.86"/>
    <x v="3"/>
    <x v="2"/>
    <d v="2025-01-02T05:27:00"/>
    <x v="1"/>
    <x v="0"/>
    <x v="3"/>
    <x v="9"/>
    <n v="1"/>
    <n v="1"/>
    <n v="1"/>
    <x v="0"/>
    <x v="0"/>
    <m/>
    <m/>
    <m/>
  </r>
  <r>
    <n v="75"/>
    <n v="4.16"/>
    <n v="25.5"/>
    <x v="2"/>
    <n v="5.39"/>
    <x v="1"/>
    <x v="1"/>
    <d v="2025-01-03T04:01:00"/>
    <x v="1"/>
    <x v="2"/>
    <x v="1"/>
    <x v="11"/>
    <n v="1"/>
    <n v="1"/>
    <n v="1"/>
    <x v="3"/>
    <x v="0"/>
    <m/>
    <m/>
    <m/>
  </r>
  <r>
    <n v="76"/>
    <n v="4.34"/>
    <n v="24.1"/>
    <x v="0"/>
    <n v="4.4000000000000004"/>
    <x v="3"/>
    <x v="1"/>
    <d v="2025-01-03T01:50:00"/>
    <x v="3"/>
    <x v="2"/>
    <x v="1"/>
    <x v="14"/>
    <n v="1"/>
    <n v="1"/>
    <n v="1"/>
    <x v="3"/>
    <x v="3"/>
    <m/>
    <m/>
    <m/>
  </r>
  <r>
    <n v="77"/>
    <n v="6.77"/>
    <n v="41.8"/>
    <x v="0"/>
    <n v="9.32"/>
    <x v="0"/>
    <x v="1"/>
    <d v="2025-01-03T01:49:00"/>
    <x v="1"/>
    <x v="0"/>
    <x v="1"/>
    <x v="14"/>
    <n v="1"/>
    <n v="1"/>
    <n v="1"/>
    <x v="0"/>
    <x v="0"/>
    <m/>
    <m/>
    <m/>
  </r>
  <r>
    <n v="78"/>
    <n v="3.11"/>
    <n v="15.9"/>
    <x v="1"/>
    <n v="3.4"/>
    <x v="1"/>
    <x v="0"/>
    <d v="2025-01-02T12:40:00"/>
    <x v="2"/>
    <x v="4"/>
    <x v="3"/>
    <x v="16"/>
    <n v="1"/>
    <n v="1"/>
    <n v="1"/>
    <x v="3"/>
    <x v="3"/>
    <m/>
    <m/>
    <m/>
  </r>
  <r>
    <n v="79"/>
    <n v="1.77"/>
    <n v="7.9"/>
    <x v="1"/>
    <n v="1.89"/>
    <x v="3"/>
    <x v="1"/>
    <d v="2025-01-02T00:49:00"/>
    <x v="2"/>
    <x v="0"/>
    <x v="3"/>
    <x v="1"/>
    <n v="1"/>
    <n v="1"/>
    <n v="1"/>
    <x v="1"/>
    <x v="1"/>
    <m/>
    <m/>
    <m/>
  </r>
  <r>
    <n v="80"/>
    <n v="4.12"/>
    <n v="24"/>
    <x v="1"/>
    <n v="4.88"/>
    <x v="0"/>
    <x v="1"/>
    <d v="2025-01-03T04:36:00"/>
    <x v="4"/>
    <x v="2"/>
    <x v="1"/>
    <x v="11"/>
    <n v="1"/>
    <n v="1"/>
    <n v="1"/>
    <x v="3"/>
    <x v="3"/>
    <m/>
    <m/>
    <m/>
  </r>
  <r>
    <n v="81"/>
    <n v="11.77"/>
    <n v="82.4"/>
    <x v="0"/>
    <n v="12.55"/>
    <x v="1"/>
    <x v="1"/>
    <d v="2025-01-02T22:55:00"/>
    <x v="2"/>
    <x v="4"/>
    <x v="3"/>
    <x v="20"/>
    <n v="0"/>
    <n v="1"/>
    <n v="1"/>
    <x v="2"/>
    <x v="2"/>
    <m/>
    <m/>
    <m/>
  </r>
  <r>
    <n v="82"/>
    <n v="4.13"/>
    <n v="28.6"/>
    <x v="2"/>
    <n v="4.42"/>
    <x v="3"/>
    <x v="0"/>
    <d v="2025-01-01T08:44:00"/>
    <x v="2"/>
    <x v="2"/>
    <x v="0"/>
    <x v="7"/>
    <n v="1"/>
    <n v="1"/>
    <n v="1"/>
    <x v="3"/>
    <x v="3"/>
    <m/>
    <m/>
    <m/>
  </r>
  <r>
    <n v="83"/>
    <n v="8.35"/>
    <n v="62.2"/>
    <x v="1"/>
    <n v="12.42"/>
    <x v="0"/>
    <x v="3"/>
    <d v="2025-01-04T05:30:00"/>
    <x v="0"/>
    <x v="3"/>
    <x v="2"/>
    <x v="9"/>
    <n v="0"/>
    <n v="1"/>
    <n v="1"/>
    <x v="0"/>
    <x v="2"/>
    <m/>
    <m/>
    <m/>
  </r>
  <r>
    <n v="84"/>
    <n v="4.68"/>
    <n v="19.899999999999999"/>
    <x v="1"/>
    <n v="4.87"/>
    <x v="1"/>
    <x v="0"/>
    <d v="2025-01-02T08:08:00"/>
    <x v="1"/>
    <x v="2"/>
    <x v="3"/>
    <x v="7"/>
    <n v="1"/>
    <n v="1"/>
    <n v="1"/>
    <x v="3"/>
    <x v="3"/>
    <m/>
    <m/>
    <m/>
  </r>
  <r>
    <n v="85"/>
    <n v="4.24"/>
    <n v="29.5"/>
    <x v="2"/>
    <n v="4.4800000000000004"/>
    <x v="1"/>
    <x v="0"/>
    <d v="2025-01-02T02:04:00"/>
    <x v="2"/>
    <x v="2"/>
    <x v="3"/>
    <x v="12"/>
    <n v="1"/>
    <n v="1"/>
    <n v="1"/>
    <x v="3"/>
    <x v="3"/>
    <m/>
    <m/>
    <m/>
  </r>
  <r>
    <n v="86"/>
    <n v="2.15"/>
    <n v="12.7"/>
    <x v="0"/>
    <n v="2.78"/>
    <x v="0"/>
    <x v="2"/>
    <d v="2025-01-02T07:04:00"/>
    <x v="2"/>
    <x v="4"/>
    <x v="3"/>
    <x v="15"/>
    <n v="1"/>
    <n v="1"/>
    <n v="1"/>
    <x v="3"/>
    <x v="3"/>
    <m/>
    <m/>
    <m/>
  </r>
  <r>
    <n v="87"/>
    <n v="0.71"/>
    <n v="5.2"/>
    <x v="0"/>
    <n v="0.88"/>
    <x v="3"/>
    <x v="2"/>
    <d v="2025-01-03T15:10:00"/>
    <x v="0"/>
    <x v="1"/>
    <x v="1"/>
    <x v="0"/>
    <n v="1"/>
    <n v="1"/>
    <n v="1"/>
    <x v="1"/>
    <x v="1"/>
    <m/>
    <m/>
    <m/>
  </r>
  <r>
    <n v="88"/>
    <n v="0.61"/>
    <n v="3"/>
    <x v="1"/>
    <n v="0.74"/>
    <x v="2"/>
    <x v="0"/>
    <d v="2025-01-01T20:37:00"/>
    <x v="2"/>
    <x v="2"/>
    <x v="0"/>
    <x v="19"/>
    <n v="1"/>
    <n v="1"/>
    <n v="1"/>
    <x v="1"/>
    <x v="1"/>
    <m/>
    <m/>
    <m/>
  </r>
  <r>
    <n v="89"/>
    <n v="10.32"/>
    <n v="63.9"/>
    <x v="0"/>
    <n v="10.44"/>
    <x v="1"/>
    <x v="1"/>
    <d v="2025-01-04T18:19:00"/>
    <x v="4"/>
    <x v="0"/>
    <x v="2"/>
    <x v="10"/>
    <n v="0"/>
    <n v="1"/>
    <n v="1"/>
    <x v="2"/>
    <x v="2"/>
    <m/>
    <m/>
    <m/>
  </r>
  <r>
    <n v="90"/>
    <n v="5.08"/>
    <n v="35.700000000000003"/>
    <x v="2"/>
    <n v="5.73"/>
    <x v="2"/>
    <x v="3"/>
    <d v="2025-01-03T02:52:00"/>
    <x v="0"/>
    <x v="2"/>
    <x v="1"/>
    <x v="12"/>
    <n v="1"/>
    <n v="1"/>
    <n v="1"/>
    <x v="0"/>
    <x v="0"/>
    <m/>
    <m/>
    <m/>
  </r>
  <r>
    <n v="91"/>
    <n v="4.4400000000000004"/>
    <n v="40.799999999999997"/>
    <x v="2"/>
    <n v="6.12"/>
    <x v="2"/>
    <x v="1"/>
    <d v="2025-01-02T16:09:00"/>
    <x v="2"/>
    <x v="1"/>
    <x v="3"/>
    <x v="4"/>
    <n v="1"/>
    <n v="1"/>
    <n v="1"/>
    <x v="3"/>
    <x v="0"/>
    <m/>
    <m/>
    <m/>
  </r>
  <r>
    <n v="92"/>
    <n v="5.33"/>
    <n v="47.4"/>
    <x v="2"/>
    <n v="7.54"/>
    <x v="0"/>
    <x v="2"/>
    <d v="2025-01-01T17:46:00"/>
    <x v="0"/>
    <x v="2"/>
    <x v="0"/>
    <x v="2"/>
    <n v="0"/>
    <n v="1"/>
    <n v="1"/>
    <x v="0"/>
    <x v="0"/>
    <m/>
    <m/>
    <m/>
  </r>
  <r>
    <n v="93"/>
    <n v="10.07"/>
    <n v="56.8"/>
    <x v="2"/>
    <n v="12.82"/>
    <x v="3"/>
    <x v="3"/>
    <d v="2025-01-02T02:19:00"/>
    <x v="0"/>
    <x v="3"/>
    <x v="3"/>
    <x v="12"/>
    <n v="0"/>
    <n v="1"/>
    <n v="1"/>
    <x v="2"/>
    <x v="2"/>
    <m/>
    <m/>
    <m/>
  </r>
  <r>
    <n v="94"/>
    <n v="9.58"/>
    <n v="73.5"/>
    <x v="2"/>
    <n v="13.07"/>
    <x v="2"/>
    <x v="1"/>
    <d v="2025-01-04T11:56:00"/>
    <x v="0"/>
    <x v="0"/>
    <x v="2"/>
    <x v="13"/>
    <n v="0"/>
    <n v="1"/>
    <n v="1"/>
    <x v="0"/>
    <x v="2"/>
    <m/>
    <m/>
    <m/>
  </r>
  <r>
    <n v="95"/>
    <n v="8.08"/>
    <n v="51.1"/>
    <x v="2"/>
    <n v="10.96"/>
    <x v="2"/>
    <x v="2"/>
    <d v="2025-01-02T20:47:00"/>
    <x v="1"/>
    <x v="4"/>
    <x v="3"/>
    <x v="19"/>
    <n v="0"/>
    <n v="1"/>
    <n v="1"/>
    <x v="0"/>
    <x v="2"/>
    <m/>
    <m/>
    <m/>
  </r>
  <r>
    <n v="96"/>
    <n v="6.66"/>
    <n v="36.5"/>
    <x v="2"/>
    <n v="8.48"/>
    <x v="3"/>
    <x v="0"/>
    <d v="2025-01-03T11:22:00"/>
    <x v="2"/>
    <x v="0"/>
    <x v="1"/>
    <x v="13"/>
    <n v="1"/>
    <n v="1"/>
    <n v="1"/>
    <x v="0"/>
    <x v="0"/>
    <m/>
    <m/>
    <m/>
  </r>
  <r>
    <n v="97"/>
    <n v="1.47"/>
    <n v="9.8000000000000007"/>
    <x v="1"/>
    <n v="1.88"/>
    <x v="3"/>
    <x v="3"/>
    <d v="2025-01-04T04:03:00"/>
    <x v="3"/>
    <x v="2"/>
    <x v="2"/>
    <x v="11"/>
    <n v="1"/>
    <n v="1"/>
    <n v="1"/>
    <x v="1"/>
    <x v="1"/>
    <m/>
    <m/>
    <m/>
  </r>
  <r>
    <n v="98"/>
    <n v="4.41"/>
    <n v="24.8"/>
    <x v="2"/>
    <n v="4.8"/>
    <x v="3"/>
    <x v="3"/>
    <d v="2025-01-02T17:20:00"/>
    <x v="3"/>
    <x v="0"/>
    <x v="3"/>
    <x v="2"/>
    <n v="1"/>
    <n v="1"/>
    <n v="1"/>
    <x v="3"/>
    <x v="3"/>
    <m/>
    <m/>
    <m/>
  </r>
  <r>
    <n v="99"/>
    <n v="4.0199999999999996"/>
    <n v="21.7"/>
    <x v="1"/>
    <n v="5.17"/>
    <x v="0"/>
    <x v="0"/>
    <d v="2025-01-03T04:27:00"/>
    <x v="0"/>
    <x v="3"/>
    <x v="1"/>
    <x v="11"/>
    <n v="1"/>
    <n v="1"/>
    <n v="1"/>
    <x v="3"/>
    <x v="0"/>
    <m/>
    <m/>
    <m/>
  </r>
  <r>
    <n v="100"/>
    <n v="10.039999999999999"/>
    <n v="90.7"/>
    <x v="2"/>
    <n v="14.91"/>
    <x v="3"/>
    <x v="3"/>
    <d v="2025-01-02T11:59:00"/>
    <x v="3"/>
    <x v="4"/>
    <x v="3"/>
    <x v="13"/>
    <n v="0"/>
    <n v="1"/>
    <n v="1"/>
    <x v="2"/>
    <x v="2"/>
    <m/>
    <m/>
    <m/>
  </r>
  <r>
    <n v="101"/>
    <n v="8.25"/>
    <n v="52"/>
    <x v="1"/>
    <n v="9"/>
    <x v="3"/>
    <x v="3"/>
    <d v="2025-01-01T23:22:00"/>
    <x v="2"/>
    <x v="3"/>
    <x v="0"/>
    <x v="21"/>
    <n v="0"/>
    <n v="1"/>
    <n v="1"/>
    <x v="0"/>
    <x v="0"/>
    <m/>
    <m/>
    <m/>
  </r>
  <r>
    <n v="102"/>
    <n v="3.22"/>
    <n v="19.899999999999999"/>
    <x v="0"/>
    <n v="3.28"/>
    <x v="0"/>
    <x v="2"/>
    <d v="2025-01-04T14:56:00"/>
    <x v="1"/>
    <x v="4"/>
    <x v="2"/>
    <x v="3"/>
    <n v="1"/>
    <n v="1"/>
    <n v="1"/>
    <x v="3"/>
    <x v="3"/>
    <m/>
    <m/>
    <m/>
  </r>
  <r>
    <n v="103"/>
    <n v="9.17"/>
    <n v="60.4"/>
    <x v="2"/>
    <n v="10.91"/>
    <x v="0"/>
    <x v="1"/>
    <d v="2025-01-04T12:47:00"/>
    <x v="3"/>
    <x v="3"/>
    <x v="2"/>
    <x v="16"/>
    <n v="0"/>
    <n v="1"/>
    <n v="1"/>
    <x v="0"/>
    <x v="2"/>
    <m/>
    <m/>
    <m/>
  </r>
  <r>
    <n v="104"/>
    <n v="6.86"/>
    <n v="53.9"/>
    <x v="2"/>
    <n v="8.74"/>
    <x v="1"/>
    <x v="2"/>
    <d v="2025-01-01T22:34:00"/>
    <x v="3"/>
    <x v="1"/>
    <x v="0"/>
    <x v="20"/>
    <n v="0"/>
    <n v="1"/>
    <n v="1"/>
    <x v="0"/>
    <x v="0"/>
    <m/>
    <m/>
    <m/>
  </r>
  <r>
    <n v="105"/>
    <n v="2.62"/>
    <n v="13"/>
    <x v="1"/>
    <n v="3.22"/>
    <x v="1"/>
    <x v="0"/>
    <d v="2025-01-04T00:53:00"/>
    <x v="0"/>
    <x v="4"/>
    <x v="2"/>
    <x v="1"/>
    <n v="1"/>
    <n v="1"/>
    <n v="1"/>
    <x v="3"/>
    <x v="3"/>
    <m/>
    <m/>
    <m/>
  </r>
  <r>
    <n v="106"/>
    <n v="10.96"/>
    <n v="72.900000000000006"/>
    <x v="2"/>
    <n v="16.27"/>
    <x v="2"/>
    <x v="2"/>
    <d v="2025-01-02T23:01:00"/>
    <x v="2"/>
    <x v="2"/>
    <x v="3"/>
    <x v="21"/>
    <n v="0"/>
    <n v="1"/>
    <n v="1"/>
    <x v="2"/>
    <x v="2"/>
    <m/>
    <m/>
    <m/>
  </r>
  <r>
    <n v="107"/>
    <n v="10.32"/>
    <n v="81.099999999999994"/>
    <x v="0"/>
    <n v="13.54"/>
    <x v="0"/>
    <x v="0"/>
    <d v="2025-01-04T00:06:00"/>
    <x v="3"/>
    <x v="1"/>
    <x v="2"/>
    <x v="1"/>
    <n v="0"/>
    <n v="1"/>
    <n v="1"/>
    <x v="2"/>
    <x v="2"/>
    <m/>
    <m/>
    <m/>
  </r>
  <r>
    <n v="108"/>
    <n v="12"/>
    <n v="73.599999999999994"/>
    <x v="0"/>
    <n v="16.48"/>
    <x v="0"/>
    <x v="3"/>
    <d v="2025-01-03T23:57:00"/>
    <x v="4"/>
    <x v="2"/>
    <x v="1"/>
    <x v="21"/>
    <n v="0"/>
    <n v="1"/>
    <n v="1"/>
    <x v="2"/>
    <x v="2"/>
    <m/>
    <m/>
    <m/>
  </r>
  <r>
    <n v="109"/>
    <n v="10.16"/>
    <n v="57.7"/>
    <x v="0"/>
    <n v="14.07"/>
    <x v="1"/>
    <x v="1"/>
    <d v="2025-01-02T03:11:00"/>
    <x v="0"/>
    <x v="0"/>
    <x v="3"/>
    <x v="17"/>
    <n v="0"/>
    <n v="1"/>
    <n v="1"/>
    <x v="2"/>
    <x v="2"/>
    <m/>
    <m/>
    <m/>
  </r>
  <r>
    <n v="110"/>
    <n v="7.29"/>
    <n v="57.9"/>
    <x v="0"/>
    <n v="10.86"/>
    <x v="1"/>
    <x v="2"/>
    <d v="2025-01-01T11:35:00"/>
    <x v="2"/>
    <x v="0"/>
    <x v="0"/>
    <x v="13"/>
    <n v="0"/>
    <n v="1"/>
    <n v="1"/>
    <x v="0"/>
    <x v="2"/>
    <m/>
    <m/>
    <m/>
  </r>
  <r>
    <n v="111"/>
    <n v="7.97"/>
    <n v="51"/>
    <x v="2"/>
    <n v="10.73"/>
    <x v="0"/>
    <x v="2"/>
    <d v="2025-01-03T12:38:00"/>
    <x v="4"/>
    <x v="1"/>
    <x v="1"/>
    <x v="16"/>
    <n v="0"/>
    <n v="1"/>
    <n v="1"/>
    <x v="0"/>
    <x v="2"/>
    <m/>
    <m/>
    <m/>
  </r>
  <r>
    <n v="112"/>
    <n v="10.53"/>
    <n v="83.6"/>
    <x v="1"/>
    <n v="15.46"/>
    <x v="3"/>
    <x v="0"/>
    <d v="2025-01-01T08:47:00"/>
    <x v="2"/>
    <x v="4"/>
    <x v="0"/>
    <x v="7"/>
    <n v="0"/>
    <n v="1"/>
    <n v="1"/>
    <x v="2"/>
    <x v="2"/>
    <m/>
    <m/>
    <m/>
  </r>
  <r>
    <n v="113"/>
    <n v="1.51"/>
    <n v="7.9"/>
    <x v="0"/>
    <n v="1.6"/>
    <x v="1"/>
    <x v="3"/>
    <d v="2025-01-02T15:45:00"/>
    <x v="4"/>
    <x v="4"/>
    <x v="3"/>
    <x v="0"/>
    <n v="1"/>
    <n v="1"/>
    <n v="1"/>
    <x v="1"/>
    <x v="1"/>
    <m/>
    <m/>
    <m/>
  </r>
  <r>
    <n v="114"/>
    <n v="10.56"/>
    <n v="68"/>
    <x v="1"/>
    <n v="11.2"/>
    <x v="0"/>
    <x v="2"/>
    <d v="2025-01-03T23:08:00"/>
    <x v="0"/>
    <x v="1"/>
    <x v="1"/>
    <x v="21"/>
    <n v="0"/>
    <n v="1"/>
    <n v="1"/>
    <x v="2"/>
    <x v="2"/>
    <m/>
    <m/>
    <m/>
  </r>
  <r>
    <n v="115"/>
    <n v="5.35"/>
    <n v="27.2"/>
    <x v="2"/>
    <n v="6.7"/>
    <x v="3"/>
    <x v="3"/>
    <d v="2025-01-04T01:10:00"/>
    <x v="4"/>
    <x v="2"/>
    <x v="2"/>
    <x v="14"/>
    <n v="1"/>
    <n v="1"/>
    <n v="1"/>
    <x v="0"/>
    <x v="0"/>
    <m/>
    <m/>
    <m/>
  </r>
  <r>
    <n v="116"/>
    <n v="9.0500000000000007"/>
    <n v="61.3"/>
    <x v="1"/>
    <n v="9.61"/>
    <x v="3"/>
    <x v="3"/>
    <d v="2025-01-02T00:27:00"/>
    <x v="4"/>
    <x v="2"/>
    <x v="3"/>
    <x v="1"/>
    <n v="0"/>
    <n v="1"/>
    <n v="1"/>
    <x v="0"/>
    <x v="0"/>
    <m/>
    <m/>
    <m/>
  </r>
  <r>
    <n v="117"/>
    <n v="3.47"/>
    <n v="23.9"/>
    <x v="0"/>
    <n v="3.87"/>
    <x v="2"/>
    <x v="3"/>
    <d v="2025-01-02T14:38:00"/>
    <x v="0"/>
    <x v="2"/>
    <x v="3"/>
    <x v="3"/>
    <n v="1"/>
    <n v="1"/>
    <n v="1"/>
    <x v="3"/>
    <x v="3"/>
    <m/>
    <m/>
    <m/>
  </r>
  <r>
    <n v="118"/>
    <n v="6.2"/>
    <n v="56"/>
    <x v="1"/>
    <n v="8.7899999999999991"/>
    <x v="3"/>
    <x v="1"/>
    <d v="2025-01-02T03:26:00"/>
    <x v="4"/>
    <x v="0"/>
    <x v="3"/>
    <x v="17"/>
    <n v="0"/>
    <n v="1"/>
    <n v="1"/>
    <x v="0"/>
    <x v="0"/>
    <m/>
    <m/>
    <m/>
  </r>
  <r>
    <n v="119"/>
    <n v="9.57"/>
    <n v="55.7"/>
    <x v="2"/>
    <n v="11.89"/>
    <x v="3"/>
    <x v="0"/>
    <d v="2025-01-03T01:31:00"/>
    <x v="3"/>
    <x v="1"/>
    <x v="1"/>
    <x v="14"/>
    <n v="0"/>
    <n v="1"/>
    <n v="1"/>
    <x v="0"/>
    <x v="2"/>
    <m/>
    <m/>
    <m/>
  </r>
  <r>
    <n v="120"/>
    <n v="3.78"/>
    <n v="27.8"/>
    <x v="1"/>
    <n v="4.42"/>
    <x v="1"/>
    <x v="3"/>
    <d v="2025-01-02T16:55:00"/>
    <x v="0"/>
    <x v="4"/>
    <x v="3"/>
    <x v="4"/>
    <n v="1"/>
    <n v="1"/>
    <n v="1"/>
    <x v="3"/>
    <x v="3"/>
    <m/>
    <m/>
    <m/>
  </r>
  <r>
    <n v="121"/>
    <n v="6.32"/>
    <n v="32.1"/>
    <x v="1"/>
    <n v="6.78"/>
    <x v="0"/>
    <x v="2"/>
    <d v="2025-01-03T12:30:00"/>
    <x v="4"/>
    <x v="0"/>
    <x v="1"/>
    <x v="16"/>
    <n v="1"/>
    <n v="1"/>
    <n v="1"/>
    <x v="0"/>
    <x v="0"/>
    <m/>
    <m/>
    <m/>
  </r>
  <r>
    <n v="122"/>
    <n v="10.72"/>
    <n v="50.3"/>
    <x v="2"/>
    <n v="11.96"/>
    <x v="2"/>
    <x v="0"/>
    <d v="2025-01-03T12:56:00"/>
    <x v="0"/>
    <x v="4"/>
    <x v="1"/>
    <x v="16"/>
    <n v="0"/>
    <n v="1"/>
    <n v="1"/>
    <x v="2"/>
    <x v="2"/>
    <m/>
    <m/>
    <m/>
  </r>
  <r>
    <n v="123"/>
    <n v="10.55"/>
    <n v="85.7"/>
    <x v="0"/>
    <n v="13.49"/>
    <x v="3"/>
    <x v="2"/>
    <d v="2025-01-04T11:13:00"/>
    <x v="1"/>
    <x v="0"/>
    <x v="2"/>
    <x v="13"/>
    <n v="0"/>
    <n v="1"/>
    <n v="1"/>
    <x v="2"/>
    <x v="2"/>
    <m/>
    <m/>
    <m/>
  </r>
  <r>
    <n v="124"/>
    <n v="9.67"/>
    <n v="65.8"/>
    <x v="0"/>
    <n v="9.9499999999999993"/>
    <x v="3"/>
    <x v="2"/>
    <d v="2025-01-04T18:00:00"/>
    <x v="0"/>
    <x v="4"/>
    <x v="2"/>
    <x v="10"/>
    <n v="0"/>
    <n v="1"/>
    <n v="1"/>
    <x v="0"/>
    <x v="0"/>
    <m/>
    <m/>
    <m/>
  </r>
  <r>
    <n v="125"/>
    <n v="4.09"/>
    <n v="33.5"/>
    <x v="1"/>
    <n v="5.52"/>
    <x v="0"/>
    <x v="1"/>
    <d v="2025-01-03T01:02:00"/>
    <x v="3"/>
    <x v="1"/>
    <x v="1"/>
    <x v="14"/>
    <n v="1"/>
    <n v="1"/>
    <n v="1"/>
    <x v="3"/>
    <x v="0"/>
    <m/>
    <m/>
    <m/>
  </r>
  <r>
    <n v="126"/>
    <n v="8.4"/>
    <n v="67.2"/>
    <x v="2"/>
    <n v="10.79"/>
    <x v="1"/>
    <x v="1"/>
    <d v="2025-01-04T08:33:00"/>
    <x v="3"/>
    <x v="4"/>
    <x v="2"/>
    <x v="7"/>
    <n v="0"/>
    <n v="1"/>
    <n v="1"/>
    <x v="0"/>
    <x v="2"/>
    <m/>
    <m/>
    <m/>
  </r>
  <r>
    <n v="127"/>
    <n v="10.07"/>
    <n v="51.4"/>
    <x v="0"/>
    <n v="11.03"/>
    <x v="0"/>
    <x v="3"/>
    <d v="2025-01-03T14:11:00"/>
    <x v="0"/>
    <x v="2"/>
    <x v="1"/>
    <x v="3"/>
    <n v="0"/>
    <n v="1"/>
    <n v="1"/>
    <x v="2"/>
    <x v="2"/>
    <m/>
    <m/>
    <m/>
  </r>
  <r>
    <n v="128"/>
    <n v="1.47"/>
    <n v="11.3"/>
    <x v="1"/>
    <n v="1.86"/>
    <x v="1"/>
    <x v="0"/>
    <d v="2025-01-04T17:37:00"/>
    <x v="0"/>
    <x v="2"/>
    <x v="2"/>
    <x v="2"/>
    <n v="1"/>
    <n v="1"/>
    <n v="1"/>
    <x v="1"/>
    <x v="1"/>
    <m/>
    <m/>
    <m/>
  </r>
  <r>
    <n v="129"/>
    <n v="11.72"/>
    <n v="70.599999999999994"/>
    <x v="2"/>
    <n v="11.77"/>
    <x v="3"/>
    <x v="0"/>
    <d v="2025-01-02T10:15:00"/>
    <x v="3"/>
    <x v="0"/>
    <x v="3"/>
    <x v="18"/>
    <n v="0"/>
    <n v="1"/>
    <n v="1"/>
    <x v="2"/>
    <x v="2"/>
    <m/>
    <m/>
    <m/>
  </r>
  <r>
    <n v="130"/>
    <n v="3.89"/>
    <n v="28.7"/>
    <x v="1"/>
    <n v="5.76"/>
    <x v="2"/>
    <x v="3"/>
    <d v="2025-01-03T16:13:00"/>
    <x v="2"/>
    <x v="0"/>
    <x v="1"/>
    <x v="4"/>
    <n v="1"/>
    <n v="1"/>
    <n v="1"/>
    <x v="3"/>
    <x v="0"/>
    <m/>
    <m/>
    <m/>
  </r>
  <r>
    <n v="131"/>
    <n v="11.68"/>
    <n v="69.2"/>
    <x v="0"/>
    <n v="12.36"/>
    <x v="3"/>
    <x v="0"/>
    <d v="2025-01-02T21:07:00"/>
    <x v="0"/>
    <x v="0"/>
    <x v="3"/>
    <x v="6"/>
    <n v="0"/>
    <n v="1"/>
    <n v="1"/>
    <x v="2"/>
    <x v="2"/>
    <m/>
    <m/>
    <m/>
  </r>
  <r>
    <n v="132"/>
    <n v="9.77"/>
    <n v="67.5"/>
    <x v="0"/>
    <n v="10.58"/>
    <x v="0"/>
    <x v="1"/>
    <d v="2025-01-04T16:02:00"/>
    <x v="3"/>
    <x v="4"/>
    <x v="2"/>
    <x v="4"/>
    <n v="0"/>
    <n v="1"/>
    <n v="1"/>
    <x v="0"/>
    <x v="2"/>
    <m/>
    <m/>
    <m/>
  </r>
  <r>
    <n v="133"/>
    <n v="11.09"/>
    <n v="57.8"/>
    <x v="0"/>
    <n v="12.59"/>
    <x v="3"/>
    <x v="2"/>
    <d v="2025-01-04T15:29:00"/>
    <x v="0"/>
    <x v="3"/>
    <x v="2"/>
    <x v="0"/>
    <n v="0"/>
    <n v="1"/>
    <n v="1"/>
    <x v="2"/>
    <x v="2"/>
    <m/>
    <m/>
    <m/>
  </r>
  <r>
    <n v="134"/>
    <n v="10"/>
    <n v="102.3"/>
    <x v="2"/>
    <n v="14.72"/>
    <x v="0"/>
    <x v="0"/>
    <d v="2025-01-03T04:52:00"/>
    <x v="4"/>
    <x v="4"/>
    <x v="1"/>
    <x v="11"/>
    <n v="0"/>
    <n v="1"/>
    <n v="1"/>
    <x v="2"/>
    <x v="2"/>
    <m/>
    <m/>
    <m/>
  </r>
  <r>
    <n v="135"/>
    <n v="0.99"/>
    <n v="5.4"/>
    <x v="1"/>
    <n v="1.33"/>
    <x v="0"/>
    <x v="0"/>
    <d v="2025-01-04T06:21:00"/>
    <x v="0"/>
    <x v="3"/>
    <x v="2"/>
    <x v="8"/>
    <n v="1"/>
    <n v="1"/>
    <n v="1"/>
    <x v="1"/>
    <x v="1"/>
    <m/>
    <m/>
    <m/>
  </r>
  <r>
    <n v="136"/>
    <n v="8.07"/>
    <n v="57.2"/>
    <x v="0"/>
    <n v="9.34"/>
    <x v="3"/>
    <x v="2"/>
    <d v="2025-01-02T17:19:00"/>
    <x v="1"/>
    <x v="4"/>
    <x v="3"/>
    <x v="2"/>
    <n v="0"/>
    <n v="1"/>
    <n v="1"/>
    <x v="0"/>
    <x v="0"/>
    <m/>
    <m/>
    <m/>
  </r>
  <r>
    <n v="137"/>
    <n v="2.57"/>
    <n v="21.2"/>
    <x v="1"/>
    <n v="3.51"/>
    <x v="0"/>
    <x v="3"/>
    <d v="2025-01-01T17:38:00"/>
    <x v="3"/>
    <x v="4"/>
    <x v="0"/>
    <x v="2"/>
    <n v="1"/>
    <n v="1"/>
    <n v="1"/>
    <x v="3"/>
    <x v="3"/>
    <m/>
    <m/>
    <m/>
  </r>
  <r>
    <n v="138"/>
    <n v="10.99"/>
    <n v="63.9"/>
    <x v="1"/>
    <n v="13.74"/>
    <x v="0"/>
    <x v="2"/>
    <d v="2025-01-01T11:24:00"/>
    <x v="0"/>
    <x v="4"/>
    <x v="0"/>
    <x v="13"/>
    <n v="0"/>
    <n v="1"/>
    <n v="1"/>
    <x v="2"/>
    <x v="2"/>
    <m/>
    <m/>
    <m/>
  </r>
  <r>
    <n v="139"/>
    <n v="6.9"/>
    <n v="47.8"/>
    <x v="2"/>
    <n v="7.2"/>
    <x v="2"/>
    <x v="3"/>
    <d v="2025-01-02T06:16:00"/>
    <x v="1"/>
    <x v="0"/>
    <x v="3"/>
    <x v="8"/>
    <n v="0"/>
    <n v="1"/>
    <n v="1"/>
    <x v="0"/>
    <x v="0"/>
    <m/>
    <m/>
    <m/>
  </r>
  <r>
    <n v="140"/>
    <n v="10.79"/>
    <n v="76.7"/>
    <x v="2"/>
    <n v="13.96"/>
    <x v="2"/>
    <x v="1"/>
    <d v="2025-01-01T10:40:00"/>
    <x v="2"/>
    <x v="2"/>
    <x v="0"/>
    <x v="18"/>
    <n v="0"/>
    <n v="1"/>
    <n v="1"/>
    <x v="2"/>
    <x v="2"/>
    <m/>
    <m/>
    <m/>
  </r>
  <r>
    <n v="141"/>
    <n v="7.06"/>
    <n v="47.7"/>
    <x v="1"/>
    <n v="7.66"/>
    <x v="2"/>
    <x v="1"/>
    <d v="2025-01-02T21:42:00"/>
    <x v="0"/>
    <x v="4"/>
    <x v="3"/>
    <x v="6"/>
    <n v="0"/>
    <n v="1"/>
    <n v="1"/>
    <x v="0"/>
    <x v="0"/>
    <m/>
    <m/>
    <m/>
  </r>
  <r>
    <n v="142"/>
    <n v="1.41"/>
    <n v="9.8000000000000007"/>
    <x v="0"/>
    <n v="1.56"/>
    <x v="0"/>
    <x v="2"/>
    <d v="2025-01-01T09:02:00"/>
    <x v="3"/>
    <x v="2"/>
    <x v="0"/>
    <x v="5"/>
    <n v="1"/>
    <n v="1"/>
    <n v="1"/>
    <x v="1"/>
    <x v="1"/>
    <m/>
    <m/>
    <m/>
  </r>
  <r>
    <n v="143"/>
    <n v="6.37"/>
    <n v="39.9"/>
    <x v="0"/>
    <n v="9.2100000000000009"/>
    <x v="3"/>
    <x v="3"/>
    <d v="2025-01-04T02:16:00"/>
    <x v="1"/>
    <x v="0"/>
    <x v="2"/>
    <x v="12"/>
    <n v="1"/>
    <n v="1"/>
    <n v="1"/>
    <x v="0"/>
    <x v="0"/>
    <m/>
    <m/>
    <m/>
  </r>
  <r>
    <n v="144"/>
    <n v="7.96"/>
    <n v="57"/>
    <x v="0"/>
    <n v="9.67"/>
    <x v="0"/>
    <x v="3"/>
    <d v="2025-01-02T05:22:00"/>
    <x v="1"/>
    <x v="4"/>
    <x v="3"/>
    <x v="9"/>
    <n v="0"/>
    <n v="1"/>
    <n v="1"/>
    <x v="0"/>
    <x v="0"/>
    <m/>
    <m/>
    <m/>
  </r>
  <r>
    <n v="145"/>
    <n v="3.7"/>
    <n v="23.2"/>
    <x v="2"/>
    <n v="4.46"/>
    <x v="1"/>
    <x v="0"/>
    <d v="2025-01-04T03:26:00"/>
    <x v="4"/>
    <x v="0"/>
    <x v="2"/>
    <x v="17"/>
    <n v="1"/>
    <n v="1"/>
    <n v="1"/>
    <x v="3"/>
    <x v="3"/>
    <m/>
    <m/>
    <m/>
  </r>
  <r>
    <n v="146"/>
    <n v="5.34"/>
    <n v="44"/>
    <x v="1"/>
    <n v="6.56"/>
    <x v="1"/>
    <x v="1"/>
    <d v="2025-01-03T01:32:00"/>
    <x v="4"/>
    <x v="3"/>
    <x v="1"/>
    <x v="14"/>
    <n v="1"/>
    <n v="1"/>
    <n v="1"/>
    <x v="0"/>
    <x v="0"/>
    <m/>
    <m/>
    <m/>
  </r>
  <r>
    <n v="147"/>
    <n v="7.31"/>
    <n v="42.9"/>
    <x v="2"/>
    <n v="9.58"/>
    <x v="2"/>
    <x v="1"/>
    <d v="2025-01-04T07:39:00"/>
    <x v="2"/>
    <x v="4"/>
    <x v="2"/>
    <x v="15"/>
    <n v="1"/>
    <n v="1"/>
    <n v="1"/>
    <x v="0"/>
    <x v="0"/>
    <m/>
    <m/>
    <m/>
  </r>
  <r>
    <n v="148"/>
    <n v="2.2200000000000002"/>
    <n v="18.399999999999999"/>
    <x v="2"/>
    <n v="3.13"/>
    <x v="2"/>
    <x v="0"/>
    <d v="2025-01-04T09:32:00"/>
    <x v="1"/>
    <x v="3"/>
    <x v="2"/>
    <x v="5"/>
    <n v="1"/>
    <n v="1"/>
    <n v="1"/>
    <x v="3"/>
    <x v="3"/>
    <m/>
    <m/>
    <m/>
  </r>
  <r>
    <n v="149"/>
    <n v="9.1300000000000008"/>
    <n v="61.4"/>
    <x v="2"/>
    <n v="12.81"/>
    <x v="2"/>
    <x v="1"/>
    <d v="2025-01-02T05:29:00"/>
    <x v="3"/>
    <x v="1"/>
    <x v="3"/>
    <x v="9"/>
    <n v="0"/>
    <n v="1"/>
    <n v="1"/>
    <x v="0"/>
    <x v="2"/>
    <m/>
    <m/>
    <m/>
  </r>
  <r>
    <n v="150"/>
    <n v="10.130000000000001"/>
    <n v="83.7"/>
    <x v="2"/>
    <n v="14.87"/>
    <x v="0"/>
    <x v="3"/>
    <d v="2025-01-01T10:45:00"/>
    <x v="3"/>
    <x v="0"/>
    <x v="0"/>
    <x v="18"/>
    <n v="0"/>
    <n v="1"/>
    <n v="1"/>
    <x v="2"/>
    <x v="2"/>
    <m/>
    <m/>
    <m/>
  </r>
  <r>
    <n v="151"/>
    <n v="3.22"/>
    <n v="17.7"/>
    <x v="1"/>
    <n v="3.79"/>
    <x v="0"/>
    <x v="2"/>
    <d v="2025-01-03T22:16:00"/>
    <x v="0"/>
    <x v="4"/>
    <x v="1"/>
    <x v="20"/>
    <n v="1"/>
    <n v="1"/>
    <n v="1"/>
    <x v="3"/>
    <x v="3"/>
    <m/>
    <m/>
    <m/>
  </r>
  <r>
    <n v="152"/>
    <n v="3.45"/>
    <n v="15.4"/>
    <x v="2"/>
    <n v="3.6"/>
    <x v="1"/>
    <x v="2"/>
    <d v="2025-01-02T12:50:00"/>
    <x v="1"/>
    <x v="3"/>
    <x v="3"/>
    <x v="16"/>
    <n v="1"/>
    <n v="1"/>
    <n v="1"/>
    <x v="3"/>
    <x v="3"/>
    <m/>
    <m/>
    <m/>
  </r>
  <r>
    <n v="153"/>
    <n v="3.56"/>
    <n v="28.9"/>
    <x v="1"/>
    <n v="4.47"/>
    <x v="3"/>
    <x v="2"/>
    <d v="2025-01-03T18:20:00"/>
    <x v="3"/>
    <x v="4"/>
    <x v="1"/>
    <x v="10"/>
    <n v="1"/>
    <n v="1"/>
    <n v="1"/>
    <x v="3"/>
    <x v="3"/>
    <m/>
    <m/>
    <m/>
  </r>
  <r>
    <n v="154"/>
    <n v="7.86"/>
    <n v="65.2"/>
    <x v="0"/>
    <n v="10.02"/>
    <x v="2"/>
    <x v="3"/>
    <d v="2025-01-02T11:40:00"/>
    <x v="0"/>
    <x v="3"/>
    <x v="3"/>
    <x v="13"/>
    <n v="0"/>
    <n v="1"/>
    <n v="1"/>
    <x v="0"/>
    <x v="2"/>
    <m/>
    <m/>
    <m/>
  </r>
  <r>
    <n v="155"/>
    <n v="4.26"/>
    <n v="27.8"/>
    <x v="2"/>
    <n v="6.22"/>
    <x v="2"/>
    <x v="3"/>
    <d v="2025-01-03T15:08:00"/>
    <x v="2"/>
    <x v="3"/>
    <x v="1"/>
    <x v="0"/>
    <n v="1"/>
    <n v="1"/>
    <n v="1"/>
    <x v="3"/>
    <x v="0"/>
    <m/>
    <m/>
    <m/>
  </r>
  <r>
    <n v="156"/>
    <n v="5.81"/>
    <n v="37"/>
    <x v="1"/>
    <n v="6.34"/>
    <x v="1"/>
    <x v="2"/>
    <d v="2025-01-02T12:27:00"/>
    <x v="2"/>
    <x v="1"/>
    <x v="3"/>
    <x v="16"/>
    <n v="1"/>
    <n v="1"/>
    <n v="1"/>
    <x v="0"/>
    <x v="0"/>
    <m/>
    <m/>
    <m/>
  </r>
  <r>
    <n v="157"/>
    <n v="11.25"/>
    <n v="99"/>
    <x v="1"/>
    <n v="14.73"/>
    <x v="2"/>
    <x v="1"/>
    <d v="2025-01-04T14:21:00"/>
    <x v="1"/>
    <x v="3"/>
    <x v="2"/>
    <x v="3"/>
    <n v="0"/>
    <n v="1"/>
    <n v="1"/>
    <x v="2"/>
    <x v="2"/>
    <m/>
    <m/>
    <m/>
  </r>
  <r>
    <n v="158"/>
    <n v="11.13"/>
    <n v="70.8"/>
    <x v="0"/>
    <n v="11.21"/>
    <x v="0"/>
    <x v="0"/>
    <d v="2025-01-03T15:59:00"/>
    <x v="0"/>
    <x v="1"/>
    <x v="1"/>
    <x v="0"/>
    <n v="0"/>
    <n v="1"/>
    <n v="1"/>
    <x v="2"/>
    <x v="2"/>
    <m/>
    <m/>
    <m/>
  </r>
  <r>
    <n v="159"/>
    <n v="5.3"/>
    <n v="48.7"/>
    <x v="2"/>
    <n v="7"/>
    <x v="0"/>
    <x v="1"/>
    <d v="2025-01-04T05:16:00"/>
    <x v="2"/>
    <x v="2"/>
    <x v="2"/>
    <x v="9"/>
    <n v="0"/>
    <n v="1"/>
    <n v="1"/>
    <x v="0"/>
    <x v="0"/>
    <m/>
    <m/>
    <m/>
  </r>
  <r>
    <n v="160"/>
    <n v="9.16"/>
    <n v="60.7"/>
    <x v="2"/>
    <n v="12.47"/>
    <x v="1"/>
    <x v="1"/>
    <d v="2025-01-02T07:51:00"/>
    <x v="2"/>
    <x v="3"/>
    <x v="3"/>
    <x v="15"/>
    <n v="0"/>
    <n v="1"/>
    <n v="1"/>
    <x v="0"/>
    <x v="2"/>
    <m/>
    <m/>
    <m/>
  </r>
  <r>
    <n v="161"/>
    <n v="10.82"/>
    <n v="108.8"/>
    <x v="1"/>
    <n v="15.71"/>
    <x v="0"/>
    <x v="2"/>
    <d v="2025-01-03T02:20:00"/>
    <x v="0"/>
    <x v="2"/>
    <x v="1"/>
    <x v="12"/>
    <n v="0"/>
    <n v="1"/>
    <n v="1"/>
    <x v="2"/>
    <x v="2"/>
    <m/>
    <m/>
    <m/>
  </r>
  <r>
    <n v="162"/>
    <n v="1.29"/>
    <n v="9.5"/>
    <x v="2"/>
    <n v="1.51"/>
    <x v="1"/>
    <x v="0"/>
    <d v="2025-01-01T17:39:00"/>
    <x v="1"/>
    <x v="0"/>
    <x v="0"/>
    <x v="2"/>
    <n v="1"/>
    <n v="1"/>
    <n v="1"/>
    <x v="1"/>
    <x v="1"/>
    <m/>
    <m/>
    <m/>
  </r>
  <r>
    <n v="163"/>
    <n v="5.05"/>
    <n v="39.299999999999997"/>
    <x v="1"/>
    <n v="5.76"/>
    <x v="2"/>
    <x v="2"/>
    <d v="2025-01-04T06:32:00"/>
    <x v="4"/>
    <x v="0"/>
    <x v="2"/>
    <x v="8"/>
    <n v="1"/>
    <n v="1"/>
    <n v="1"/>
    <x v="0"/>
    <x v="0"/>
    <m/>
    <m/>
    <m/>
  </r>
  <r>
    <n v="164"/>
    <n v="8.07"/>
    <n v="61.1"/>
    <x v="1"/>
    <n v="9.07"/>
    <x v="1"/>
    <x v="2"/>
    <d v="2025-01-03T13:28:00"/>
    <x v="0"/>
    <x v="0"/>
    <x v="1"/>
    <x v="22"/>
    <n v="0"/>
    <n v="1"/>
    <n v="1"/>
    <x v="0"/>
    <x v="0"/>
    <m/>
    <m/>
    <m/>
  </r>
  <r>
    <n v="165"/>
    <n v="10.41"/>
    <n v="52"/>
    <x v="1"/>
    <n v="10.83"/>
    <x v="3"/>
    <x v="3"/>
    <d v="2025-01-02T03:05:00"/>
    <x v="0"/>
    <x v="3"/>
    <x v="3"/>
    <x v="17"/>
    <n v="0"/>
    <n v="1"/>
    <n v="1"/>
    <x v="2"/>
    <x v="2"/>
    <m/>
    <m/>
    <m/>
  </r>
  <r>
    <n v="166"/>
    <n v="2.19"/>
    <n v="14.1"/>
    <x v="2"/>
    <n v="2.68"/>
    <x v="2"/>
    <x v="2"/>
    <d v="2025-01-01T10:20:00"/>
    <x v="2"/>
    <x v="0"/>
    <x v="0"/>
    <x v="18"/>
    <n v="1"/>
    <n v="1"/>
    <n v="1"/>
    <x v="3"/>
    <x v="3"/>
    <m/>
    <m/>
    <m/>
  </r>
  <r>
    <n v="167"/>
    <n v="2.87"/>
    <n v="17.2"/>
    <x v="1"/>
    <n v="3.72"/>
    <x v="1"/>
    <x v="1"/>
    <d v="2025-01-02T02:39:00"/>
    <x v="1"/>
    <x v="3"/>
    <x v="3"/>
    <x v="12"/>
    <n v="1"/>
    <n v="1"/>
    <n v="1"/>
    <x v="3"/>
    <x v="3"/>
    <m/>
    <m/>
    <m/>
  </r>
  <r>
    <n v="168"/>
    <n v="8.14"/>
    <n v="52.3"/>
    <x v="0"/>
    <n v="9.5299999999999994"/>
    <x v="1"/>
    <x v="0"/>
    <d v="2025-01-02T15:27:00"/>
    <x v="2"/>
    <x v="3"/>
    <x v="3"/>
    <x v="0"/>
    <n v="0"/>
    <n v="1"/>
    <n v="1"/>
    <x v="0"/>
    <x v="0"/>
    <m/>
    <m/>
    <m/>
  </r>
  <r>
    <n v="169"/>
    <n v="10.35"/>
    <n v="51.1"/>
    <x v="0"/>
    <n v="12.72"/>
    <x v="0"/>
    <x v="0"/>
    <d v="2025-01-03T13:14:00"/>
    <x v="0"/>
    <x v="1"/>
    <x v="1"/>
    <x v="22"/>
    <n v="0"/>
    <n v="1"/>
    <n v="1"/>
    <x v="2"/>
    <x v="2"/>
    <m/>
    <m/>
    <m/>
  </r>
  <r>
    <n v="170"/>
    <n v="5.85"/>
    <n v="30.4"/>
    <x v="1"/>
    <n v="6.48"/>
    <x v="2"/>
    <x v="0"/>
    <d v="2025-01-02T07:49:00"/>
    <x v="0"/>
    <x v="3"/>
    <x v="3"/>
    <x v="15"/>
    <n v="1"/>
    <n v="1"/>
    <n v="1"/>
    <x v="0"/>
    <x v="0"/>
    <m/>
    <m/>
    <m/>
  </r>
  <r>
    <n v="171"/>
    <n v="11.41"/>
    <n v="89"/>
    <x v="2"/>
    <n v="12.98"/>
    <x v="0"/>
    <x v="1"/>
    <d v="2025-01-02T03:01:00"/>
    <x v="2"/>
    <x v="4"/>
    <x v="3"/>
    <x v="17"/>
    <n v="0"/>
    <n v="1"/>
    <n v="1"/>
    <x v="2"/>
    <x v="2"/>
    <m/>
    <m/>
    <m/>
  </r>
  <r>
    <n v="172"/>
    <n v="11.16"/>
    <n v="73"/>
    <x v="0"/>
    <n v="13.63"/>
    <x v="3"/>
    <x v="1"/>
    <d v="2025-01-04T11:41:00"/>
    <x v="4"/>
    <x v="3"/>
    <x v="2"/>
    <x v="13"/>
    <n v="0"/>
    <n v="1"/>
    <n v="1"/>
    <x v="2"/>
    <x v="2"/>
    <m/>
    <m/>
    <m/>
  </r>
  <r>
    <n v="173"/>
    <n v="3.17"/>
    <n v="27.2"/>
    <x v="1"/>
    <n v="4.09"/>
    <x v="2"/>
    <x v="1"/>
    <d v="2025-01-04T11:45:00"/>
    <x v="4"/>
    <x v="1"/>
    <x v="2"/>
    <x v="13"/>
    <n v="1"/>
    <n v="1"/>
    <n v="1"/>
    <x v="3"/>
    <x v="3"/>
    <m/>
    <m/>
    <m/>
  </r>
  <r>
    <n v="174"/>
    <n v="4.3600000000000003"/>
    <n v="25"/>
    <x v="1"/>
    <n v="6.19"/>
    <x v="1"/>
    <x v="2"/>
    <d v="2025-01-03T13:58:00"/>
    <x v="4"/>
    <x v="1"/>
    <x v="1"/>
    <x v="22"/>
    <n v="1"/>
    <n v="1"/>
    <n v="1"/>
    <x v="3"/>
    <x v="0"/>
    <m/>
    <m/>
    <m/>
  </r>
  <r>
    <n v="175"/>
    <n v="3.88"/>
    <n v="30.2"/>
    <x v="1"/>
    <n v="5.15"/>
    <x v="0"/>
    <x v="1"/>
    <d v="2025-01-03T10:09:00"/>
    <x v="0"/>
    <x v="0"/>
    <x v="1"/>
    <x v="18"/>
    <n v="1"/>
    <n v="1"/>
    <n v="1"/>
    <x v="3"/>
    <x v="0"/>
    <m/>
    <m/>
    <m/>
  </r>
  <r>
    <n v="176"/>
    <n v="2.88"/>
    <n v="15.5"/>
    <x v="0"/>
    <n v="3.66"/>
    <x v="2"/>
    <x v="3"/>
    <d v="2025-01-02T07:11:00"/>
    <x v="0"/>
    <x v="3"/>
    <x v="3"/>
    <x v="15"/>
    <n v="1"/>
    <n v="1"/>
    <n v="1"/>
    <x v="3"/>
    <x v="3"/>
    <m/>
    <m/>
    <m/>
  </r>
  <r>
    <n v="177"/>
    <n v="9.59"/>
    <n v="79.400000000000006"/>
    <x v="0"/>
    <n v="11.98"/>
    <x v="3"/>
    <x v="3"/>
    <d v="2025-01-04T12:45:00"/>
    <x v="0"/>
    <x v="2"/>
    <x v="2"/>
    <x v="16"/>
    <n v="0"/>
    <n v="1"/>
    <n v="1"/>
    <x v="0"/>
    <x v="2"/>
    <m/>
    <m/>
    <m/>
  </r>
  <r>
    <n v="178"/>
    <n v="7.51"/>
    <n v="71.400000000000006"/>
    <x v="2"/>
    <n v="10.76"/>
    <x v="3"/>
    <x v="0"/>
    <d v="2025-01-03T19:39:00"/>
    <x v="4"/>
    <x v="0"/>
    <x v="1"/>
    <x v="23"/>
    <n v="0"/>
    <n v="1"/>
    <n v="1"/>
    <x v="0"/>
    <x v="2"/>
    <m/>
    <m/>
    <m/>
  </r>
  <r>
    <n v="179"/>
    <n v="11.72"/>
    <n v="74.900000000000006"/>
    <x v="0"/>
    <n v="15.17"/>
    <x v="3"/>
    <x v="2"/>
    <d v="2025-01-03T17:11:00"/>
    <x v="0"/>
    <x v="2"/>
    <x v="1"/>
    <x v="2"/>
    <n v="0"/>
    <n v="1"/>
    <n v="1"/>
    <x v="2"/>
    <x v="2"/>
    <m/>
    <m/>
    <m/>
  </r>
  <r>
    <n v="180"/>
    <n v="4.75"/>
    <n v="24.5"/>
    <x v="0"/>
    <n v="5.78"/>
    <x v="1"/>
    <x v="0"/>
    <d v="2025-01-03T05:36:00"/>
    <x v="0"/>
    <x v="4"/>
    <x v="1"/>
    <x v="9"/>
    <n v="1"/>
    <n v="1"/>
    <n v="1"/>
    <x v="3"/>
    <x v="0"/>
    <m/>
    <m/>
    <m/>
  </r>
  <r>
    <n v="181"/>
    <n v="10.38"/>
    <n v="74.900000000000006"/>
    <x v="0"/>
    <n v="11.31"/>
    <x v="2"/>
    <x v="2"/>
    <d v="2025-01-03T02:46:00"/>
    <x v="3"/>
    <x v="1"/>
    <x v="1"/>
    <x v="12"/>
    <n v="0"/>
    <n v="1"/>
    <n v="1"/>
    <x v="2"/>
    <x v="2"/>
    <m/>
    <m/>
    <m/>
  </r>
  <r>
    <n v="182"/>
    <n v="8.01"/>
    <n v="56.3"/>
    <x v="0"/>
    <n v="8.56"/>
    <x v="0"/>
    <x v="2"/>
    <d v="2025-01-01T20:39:00"/>
    <x v="4"/>
    <x v="1"/>
    <x v="0"/>
    <x v="19"/>
    <n v="0"/>
    <n v="1"/>
    <n v="1"/>
    <x v="0"/>
    <x v="0"/>
    <m/>
    <m/>
    <m/>
  </r>
  <r>
    <n v="183"/>
    <n v="9.68"/>
    <n v="85.7"/>
    <x v="2"/>
    <n v="13.19"/>
    <x v="1"/>
    <x v="1"/>
    <d v="2025-01-02T19:03:00"/>
    <x v="1"/>
    <x v="3"/>
    <x v="3"/>
    <x v="23"/>
    <n v="0"/>
    <n v="1"/>
    <n v="1"/>
    <x v="0"/>
    <x v="2"/>
    <m/>
    <m/>
    <m/>
  </r>
  <r>
    <n v="184"/>
    <n v="7.72"/>
    <n v="44.1"/>
    <x v="0"/>
    <n v="10.3"/>
    <x v="1"/>
    <x v="0"/>
    <d v="2025-01-02T02:31:00"/>
    <x v="1"/>
    <x v="1"/>
    <x v="3"/>
    <x v="12"/>
    <n v="1"/>
    <n v="1"/>
    <n v="1"/>
    <x v="0"/>
    <x v="2"/>
    <m/>
    <m/>
    <m/>
  </r>
  <r>
    <n v="185"/>
    <n v="8.43"/>
    <n v="78.900000000000006"/>
    <x v="2"/>
    <n v="12.07"/>
    <x v="1"/>
    <x v="0"/>
    <d v="2025-01-03T17:42:00"/>
    <x v="1"/>
    <x v="4"/>
    <x v="1"/>
    <x v="2"/>
    <n v="0"/>
    <n v="1"/>
    <n v="1"/>
    <x v="0"/>
    <x v="2"/>
    <m/>
    <m/>
    <m/>
  </r>
  <r>
    <n v="186"/>
    <n v="8.82"/>
    <n v="64.5"/>
    <x v="1"/>
    <n v="11.24"/>
    <x v="0"/>
    <x v="0"/>
    <d v="2025-01-01T19:50:00"/>
    <x v="4"/>
    <x v="1"/>
    <x v="0"/>
    <x v="23"/>
    <n v="0"/>
    <n v="1"/>
    <n v="1"/>
    <x v="0"/>
    <x v="2"/>
    <m/>
    <m/>
    <m/>
  </r>
  <r>
    <n v="187"/>
    <n v="1.18"/>
    <n v="7.1"/>
    <x v="0"/>
    <n v="1.62"/>
    <x v="1"/>
    <x v="1"/>
    <d v="2025-01-03T21:12:00"/>
    <x v="1"/>
    <x v="2"/>
    <x v="1"/>
    <x v="6"/>
    <n v="1"/>
    <n v="1"/>
    <n v="1"/>
    <x v="1"/>
    <x v="1"/>
    <m/>
    <m/>
    <m/>
  </r>
  <r>
    <n v="188"/>
    <n v="10.68"/>
    <n v="75.099999999999994"/>
    <x v="0"/>
    <n v="14.53"/>
    <x v="3"/>
    <x v="2"/>
    <d v="2025-01-04T16:13:00"/>
    <x v="4"/>
    <x v="3"/>
    <x v="2"/>
    <x v="4"/>
    <n v="0"/>
    <n v="1"/>
    <n v="1"/>
    <x v="2"/>
    <x v="2"/>
    <m/>
    <m/>
    <m/>
  </r>
  <r>
    <n v="189"/>
    <n v="0.96"/>
    <n v="6.7"/>
    <x v="0"/>
    <n v="1.05"/>
    <x v="1"/>
    <x v="3"/>
    <d v="2025-01-03T13:43:00"/>
    <x v="2"/>
    <x v="4"/>
    <x v="1"/>
    <x v="22"/>
    <n v="1"/>
    <n v="1"/>
    <n v="1"/>
    <x v="1"/>
    <x v="1"/>
    <m/>
    <m/>
    <m/>
  </r>
  <r>
    <n v="190"/>
    <n v="11.73"/>
    <n v="90.6"/>
    <x v="1"/>
    <n v="17.29"/>
    <x v="1"/>
    <x v="1"/>
    <d v="2025-01-03T08:21:00"/>
    <x v="0"/>
    <x v="3"/>
    <x v="1"/>
    <x v="7"/>
    <n v="0"/>
    <n v="1"/>
    <n v="1"/>
    <x v="2"/>
    <x v="2"/>
    <m/>
    <m/>
    <m/>
  </r>
  <r>
    <n v="191"/>
    <n v="11.05"/>
    <n v="77.5"/>
    <x v="2"/>
    <n v="13.3"/>
    <x v="0"/>
    <x v="1"/>
    <d v="2025-01-04T09:50:00"/>
    <x v="1"/>
    <x v="4"/>
    <x v="2"/>
    <x v="5"/>
    <n v="0"/>
    <n v="1"/>
    <n v="1"/>
    <x v="2"/>
    <x v="2"/>
    <m/>
    <m/>
    <m/>
  </r>
  <r>
    <n v="192"/>
    <n v="7.73"/>
    <n v="53.4"/>
    <x v="0"/>
    <n v="9.0299999999999994"/>
    <x v="0"/>
    <x v="1"/>
    <d v="2025-01-02T11:05:00"/>
    <x v="2"/>
    <x v="4"/>
    <x v="3"/>
    <x v="13"/>
    <n v="0"/>
    <n v="1"/>
    <n v="1"/>
    <x v="0"/>
    <x v="0"/>
    <m/>
    <m/>
    <m/>
  </r>
  <r>
    <n v="193"/>
    <n v="8.31"/>
    <n v="56"/>
    <x v="0"/>
    <n v="8.64"/>
    <x v="2"/>
    <x v="2"/>
    <d v="2025-01-02T15:59:00"/>
    <x v="3"/>
    <x v="2"/>
    <x v="3"/>
    <x v="0"/>
    <n v="0"/>
    <n v="1"/>
    <n v="1"/>
    <x v="0"/>
    <x v="0"/>
    <m/>
    <m/>
    <m/>
  </r>
  <r>
    <n v="194"/>
    <n v="11.18"/>
    <n v="73.400000000000006"/>
    <x v="0"/>
    <n v="12.35"/>
    <x v="3"/>
    <x v="3"/>
    <d v="2025-01-04T01:18:00"/>
    <x v="0"/>
    <x v="4"/>
    <x v="2"/>
    <x v="14"/>
    <n v="0"/>
    <n v="1"/>
    <n v="1"/>
    <x v="2"/>
    <x v="2"/>
    <m/>
    <m/>
    <m/>
  </r>
  <r>
    <n v="195"/>
    <n v="1.28"/>
    <n v="6"/>
    <x v="0"/>
    <n v="1.46"/>
    <x v="3"/>
    <x v="3"/>
    <d v="2025-01-01T22:29:00"/>
    <x v="0"/>
    <x v="4"/>
    <x v="0"/>
    <x v="20"/>
    <n v="1"/>
    <n v="1"/>
    <n v="1"/>
    <x v="1"/>
    <x v="1"/>
    <m/>
    <m/>
    <m/>
  </r>
  <r>
    <n v="196"/>
    <n v="9.02"/>
    <n v="38.4"/>
    <x v="2"/>
    <n v="9.57"/>
    <x v="2"/>
    <x v="1"/>
    <d v="2025-01-03T09:22:00"/>
    <x v="2"/>
    <x v="3"/>
    <x v="1"/>
    <x v="5"/>
    <n v="1"/>
    <n v="1"/>
    <n v="1"/>
    <x v="0"/>
    <x v="0"/>
    <m/>
    <m/>
    <m/>
  </r>
  <r>
    <n v="197"/>
    <n v="6.73"/>
    <n v="59.2"/>
    <x v="2"/>
    <n v="10.039999999999999"/>
    <x v="2"/>
    <x v="1"/>
    <d v="2025-01-03T03:32:00"/>
    <x v="0"/>
    <x v="3"/>
    <x v="1"/>
    <x v="17"/>
    <n v="0"/>
    <n v="1"/>
    <n v="1"/>
    <x v="0"/>
    <x v="2"/>
    <m/>
    <m/>
    <m/>
  </r>
  <r>
    <n v="198"/>
    <n v="6.98"/>
    <n v="51.4"/>
    <x v="0"/>
    <n v="7.83"/>
    <x v="3"/>
    <x v="1"/>
    <d v="2025-01-01T08:03:00"/>
    <x v="2"/>
    <x v="2"/>
    <x v="0"/>
    <x v="7"/>
    <n v="0"/>
    <n v="1"/>
    <n v="1"/>
    <x v="0"/>
    <x v="0"/>
    <m/>
    <m/>
    <m/>
  </r>
  <r>
    <n v="199"/>
    <n v="3.8"/>
    <n v="29.2"/>
    <x v="1"/>
    <n v="5.34"/>
    <x v="0"/>
    <x v="2"/>
    <d v="2025-01-04T07:34:00"/>
    <x v="0"/>
    <x v="0"/>
    <x v="2"/>
    <x v="15"/>
    <n v="1"/>
    <n v="1"/>
    <n v="1"/>
    <x v="3"/>
    <x v="0"/>
    <m/>
    <m/>
    <m/>
  </r>
  <r>
    <n v="200"/>
    <n v="6.55"/>
    <n v="40.799999999999997"/>
    <x v="1"/>
    <n v="7.72"/>
    <x v="1"/>
    <x v="3"/>
    <d v="2025-01-04T15:12:00"/>
    <x v="0"/>
    <x v="0"/>
    <x v="2"/>
    <x v="0"/>
    <n v="1"/>
    <n v="1"/>
    <n v="1"/>
    <x v="0"/>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B15" firstHeaderRow="0" firstDataRow="1" firstDataCol="0"/>
  <pivotFields count="22">
    <pivotField numFmtId="1" showAll="0"/>
    <pivotField numFmtId="2" showAll="0"/>
    <pivotField showAll="0"/>
    <pivotField showAll="0">
      <items count="4">
        <item x="0"/>
        <item x="1"/>
        <item x="2"/>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showAll="0">
      <items count="6">
        <item x="2"/>
        <item x="4"/>
        <item x="3"/>
        <item x="0"/>
        <item x="1"/>
        <item t="default"/>
      </items>
    </pivotField>
    <pivotField showAll="0">
      <items count="6">
        <item x="1"/>
        <item x="4"/>
        <item x="0"/>
        <item x="3"/>
        <item x="2"/>
        <item t="default"/>
      </items>
    </pivotField>
    <pivotField numFmtId="14"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s>
  <rowItems count="1">
    <i/>
  </rowItems>
  <colFields count="1">
    <field x="-2"/>
  </colFields>
  <colItems count="2">
    <i>
      <x/>
    </i>
    <i i="1">
      <x v="1"/>
    </i>
  </colItems>
  <dataFields count="2">
    <dataField name="Sum of Route Detour %" fld="20" baseField="0" baseItem="9" numFmtId="9"/>
    <dataField name="Average of Avg. Speed" fld="21" subtotal="average" baseField="0" baseItem="1" numFmtId="164"/>
  </dataFields>
  <formats count="6">
    <format dxfId="68">
      <pivotArea type="all" dataOnly="0" outline="0" fieldPosition="0"/>
    </format>
    <format dxfId="67">
      <pivotArea outline="0" collapsedLevelsAreSubtotals="1" fieldPosition="0"/>
    </format>
    <format dxfId="66">
      <pivotArea dataOnly="0" labelOnly="1" outline="0" axis="axisValues" fieldPosition="0"/>
    </format>
    <format dxfId="65">
      <pivotArea outline="0" collapsedLevelsAreSubtotals="1" fieldPosition="0">
        <references count="1">
          <reference field="4294967294" count="1" selected="0">
            <x v="1"/>
          </reference>
        </references>
      </pivotArea>
    </format>
    <format dxfId="64">
      <pivotArea outline="0" collapsedLevelsAreSubtotals="1" fieldPosition="0">
        <references count="1">
          <reference field="4294967294" count="1" selected="0">
            <x v="1"/>
          </reference>
        </references>
      </pivotArea>
    </format>
    <format dxfId="63">
      <pivotArea outline="0" collapsedLevelsAreSubtotals="1" fieldPosition="0">
        <references count="1">
          <reference field="4294967294" count="1" selected="0">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8B9CC-BC74-4B0A-ADC4-C8E556DDDD8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8:C9" firstHeaderRow="1" firstDataRow="1" firstDataCol="0"/>
  <pivotFields count="22">
    <pivotField numFmtId="1" showAll="0"/>
    <pivotField dataField="1" numFmtId="2" showAll="0"/>
    <pivotField showAll="0"/>
    <pivotField showAll="0">
      <items count="4">
        <item x="0"/>
        <item x="1"/>
        <item x="2"/>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showAll="0">
      <items count="6">
        <item x="2"/>
        <item x="4"/>
        <item x="3"/>
        <item x="0"/>
        <item x="1"/>
        <item t="default"/>
      </items>
    </pivotField>
    <pivotField showAll="0">
      <items count="6">
        <item x="1"/>
        <item x="4"/>
        <item x="0"/>
        <item x="3"/>
        <item x="2"/>
        <item t="default"/>
      </items>
    </pivotField>
    <pivotField numFmtId="14"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Average of distance_km" fld="1" subtotal="average" baseField="0" baseItem="9" numFmtId="164"/>
  </dataFields>
  <formats count="2">
    <format dxfId="70">
      <pivotArea outline="0" collapsedLevelsAreSubtotals="1" fieldPosition="0"/>
    </format>
    <format dxfId="69">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22">
    <pivotField numFmtId="1" showAll="0"/>
    <pivotField numFmtId="2" showAll="0"/>
    <pivotField showAll="0"/>
    <pivotField showAll="0">
      <items count="4">
        <item x="0"/>
        <item x="1"/>
        <item x="2"/>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showAll="0">
      <items count="6">
        <item x="2"/>
        <item x="4"/>
        <item x="3"/>
        <item x="0"/>
        <item x="1"/>
        <item t="default"/>
      </items>
    </pivotField>
    <pivotField showAll="0">
      <items count="6">
        <item x="1"/>
        <item x="4"/>
        <item x="0"/>
        <item x="3"/>
        <item x="2"/>
        <item t="default"/>
      </items>
    </pivotField>
    <pivotField numFmtId="14"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Average of On_time" fld="12" subtotal="average" baseField="0" baseItem="9" numFmtId="9"/>
  </dataFields>
  <formats count="3">
    <format dxfId="73">
      <pivotArea type="all" dataOnly="0" outline="0" fieldPosition="0"/>
    </format>
    <format dxfId="72">
      <pivotArea outline="0" collapsedLevelsAreSubtotals="1" fieldPosition="0"/>
    </format>
    <format dxfId="71">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4:C5" firstHeaderRow="1" firstDataRow="1" firstDataCol="0"/>
  <pivotFields count="22">
    <pivotField numFmtId="1" showAll="0"/>
    <pivotField numFmtId="2" showAll="0"/>
    <pivotField dataField="1" showAll="0"/>
    <pivotField showAll="0">
      <items count="4">
        <item x="0"/>
        <item x="1"/>
        <item x="2"/>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showAll="0">
      <items count="6">
        <item x="2"/>
        <item x="4"/>
        <item x="3"/>
        <item x="0"/>
        <item x="1"/>
        <item t="default"/>
      </items>
    </pivotField>
    <pivotField showAll="0">
      <items count="6">
        <item x="1"/>
        <item x="4"/>
        <item x="0"/>
        <item x="3"/>
        <item x="2"/>
        <item t="default"/>
      </items>
    </pivotField>
    <pivotField numFmtId="14"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Average of delivery_time_min" fld="2" subtotal="average" baseField="0" baseItem="9" numFmtId="164"/>
  </dataFields>
  <formats count="2">
    <format dxfId="75">
      <pivotArea outline="0" collapsedLevelsAreSubtotals="1" fieldPosition="0"/>
    </format>
    <format dxfId="74">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A5" firstHeaderRow="1" firstDataRow="1" firstDataCol="0"/>
  <pivotFields count="22">
    <pivotField dataField="1" numFmtId="1" showAll="0"/>
    <pivotField numFmtId="2" showAll="0"/>
    <pivotField showAll="0"/>
    <pivotField showAll="0">
      <items count="4">
        <item x="0"/>
        <item x="1"/>
        <item x="2"/>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showAll="0">
      <items count="6">
        <item x="2"/>
        <item x="4"/>
        <item x="3"/>
        <item x="0"/>
        <item x="1"/>
        <item t="default"/>
      </items>
    </pivotField>
    <pivotField showAll="0">
      <items count="6">
        <item x="1"/>
        <item x="4"/>
        <item x="0"/>
        <item x="3"/>
        <item x="2"/>
        <item t="default"/>
      </items>
    </pivotField>
    <pivotField numFmtId="14"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Count of order_id" fld="0" subtotal="count" baseField="0" baseItem="9"/>
  </dataFields>
  <formats count="1">
    <format dxfId="76">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18F371-B439-4D40-B7A6-DF0B9E09201D}"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H34:I58" firstHeaderRow="1" firstDataRow="1" firstDataCol="1"/>
  <pivotFields count="22">
    <pivotField dataField="1" numFmtId="1" showAll="0"/>
    <pivotField numFmtId="2" showAll="0"/>
    <pivotField showAll="0"/>
    <pivotField showAll="0">
      <items count="4">
        <item x="0"/>
        <item x="1"/>
        <item x="2"/>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showAll="0">
      <items count="6">
        <item x="2"/>
        <item x="4"/>
        <item x="3"/>
        <item x="0"/>
        <item x="1"/>
        <item t="default"/>
      </items>
    </pivotField>
    <pivotField showAll="0">
      <items count="6">
        <item x="1"/>
        <item x="4"/>
        <item x="0"/>
        <item x="3"/>
        <item x="2"/>
        <item t="default"/>
      </items>
    </pivotField>
    <pivotField numFmtId="14" showAll="0"/>
    <pivotField axis="axisRow" showAll="0">
      <items count="25">
        <item x="1"/>
        <item x="14"/>
        <item x="12"/>
        <item x="17"/>
        <item x="11"/>
        <item x="9"/>
        <item x="8"/>
        <item x="15"/>
        <item x="7"/>
        <item x="5"/>
        <item x="18"/>
        <item x="13"/>
        <item x="16"/>
        <item x="22"/>
        <item x="3"/>
        <item x="0"/>
        <item x="4"/>
        <item x="2"/>
        <item x="10"/>
        <item x="23"/>
        <item x="19"/>
        <item x="6"/>
        <item x="20"/>
        <item x="21"/>
        <item t="default"/>
      </items>
    </pivotField>
    <pivotField showAll="0"/>
    <pivotField showAll="0"/>
    <pivotField showAll="0"/>
    <pivotField showAll="0">
      <items count="5">
        <item x="1"/>
        <item x="2"/>
        <item x="3"/>
        <item x="0"/>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11"/>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name="Count of order_id" fld="0" subtotal="count" baseField="11" baseItem="0"/>
  </dataFields>
  <formats count="6">
    <format dxfId="10">
      <pivotArea outline="0" collapsedLevelsAreSubtotals="1" fieldPosition="0"/>
    </format>
    <format dxfId="9">
      <pivotArea type="all" dataOnly="0" outline="0" fieldPosition="0"/>
    </format>
    <format dxfId="8">
      <pivotArea outline="0" collapsedLevelsAreSubtotals="1" fieldPosition="0"/>
    </format>
    <format dxfId="7">
      <pivotArea field="11" type="button" dataOnly="0" labelOnly="1" outline="0" axis="axisRow" fieldPosition="0"/>
    </format>
    <format dxfId="6">
      <pivotArea dataOnly="0" labelOnly="1" fieldPosition="0">
        <references count="1">
          <reference field="11" count="0"/>
        </references>
      </pivotArea>
    </format>
    <format dxfId="5">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8"/>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8"/>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2:B6" firstHeaderRow="1" firstDataRow="1" firstDataCol="1"/>
  <pivotFields count="22">
    <pivotField numFmtId="1" showAll="0"/>
    <pivotField numFmtId="2" showAll="0"/>
    <pivotField dataField="1" showAll="0"/>
    <pivotField showAll="0">
      <items count="4">
        <item x="0"/>
        <item x="1"/>
        <item x="2"/>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showAll="0">
      <items count="6">
        <item x="2"/>
        <item x="4"/>
        <item x="3"/>
        <item x="0"/>
        <item x="1"/>
        <item t="default"/>
      </items>
    </pivotField>
    <pivotField showAll="0">
      <items count="6">
        <item x="1"/>
        <item x="4"/>
        <item x="0"/>
        <item x="3"/>
        <item x="2"/>
        <item t="default"/>
      </items>
    </pivotField>
    <pivotField axis="axisRow" numFmtId="14" showAll="0">
      <items count="5">
        <item x="0"/>
        <item x="3"/>
        <item x="1"/>
        <item x="2"/>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0"/>
  </rowFields>
  <rowItems count="4">
    <i>
      <x/>
    </i>
    <i>
      <x v="1"/>
    </i>
    <i>
      <x v="2"/>
    </i>
    <i>
      <x v="3"/>
    </i>
  </rowItems>
  <colItems count="1">
    <i/>
  </colItems>
  <dataFields count="1">
    <dataField name="Average of delivery_time_min" fld="2" subtotal="average" baseField="10" baseItem="0" numFmtId="164"/>
  </dataFields>
  <formats count="7">
    <format dxfId="17">
      <pivotArea collapsedLevelsAreSubtotals="1" fieldPosition="0">
        <references count="1">
          <reference field="10" count="0"/>
        </references>
      </pivotArea>
    </format>
    <format dxfId="16">
      <pivotArea outline="0" collapsedLevelsAreSubtotals="1" fieldPosition="0"/>
    </format>
    <format dxfId="15">
      <pivotArea type="all" dataOnly="0" outline="0" fieldPosition="0"/>
    </format>
    <format dxfId="14">
      <pivotArea outline="0" collapsedLevelsAreSubtotals="1" fieldPosition="0"/>
    </format>
    <format dxfId="13">
      <pivotArea field="10" type="button" dataOnly="0" labelOnly="1" outline="0" axis="axisRow" fieldPosition="0"/>
    </format>
    <format dxfId="12">
      <pivotArea dataOnly="0" labelOnly="1" fieldPosition="0">
        <references count="1">
          <reference field="10" count="0"/>
        </references>
      </pivotArea>
    </format>
    <format dxfId="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HEAT MAP"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rowHeaderCaption="Restaurant_Zone" colHeaderCaption="Customer_Zone">
  <location ref="A32:F38" firstHeaderRow="1" firstDataRow="2" firstDataCol="1"/>
  <pivotFields count="22">
    <pivotField numFmtId="1" showAll="0"/>
    <pivotField numFmtId="2" showAll="0"/>
    <pivotField dataField="1" showAll="0"/>
    <pivotField showAll="0">
      <items count="4">
        <item x="0"/>
        <item x="1"/>
        <item x="2"/>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axis="axisRow" showAll="0">
      <items count="6">
        <item x="2"/>
        <item x="4"/>
        <item x="3"/>
        <item x="0"/>
        <item x="1"/>
        <item t="default"/>
      </items>
    </pivotField>
    <pivotField axis="axisCol" showAll="0">
      <items count="6">
        <item x="1"/>
        <item x="4"/>
        <item x="0"/>
        <item x="3"/>
        <item x="2"/>
        <item t="default"/>
      </items>
    </pivotField>
    <pivotField numFmtId="14"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8"/>
  </rowFields>
  <rowItems count="5">
    <i>
      <x/>
    </i>
    <i>
      <x v="1"/>
    </i>
    <i>
      <x v="2"/>
    </i>
    <i>
      <x v="3"/>
    </i>
    <i>
      <x v="4"/>
    </i>
  </rowItems>
  <colFields count="1">
    <field x="9"/>
  </colFields>
  <colItems count="5">
    <i>
      <x/>
    </i>
    <i>
      <x v="1"/>
    </i>
    <i>
      <x v="2"/>
    </i>
    <i>
      <x v="3"/>
    </i>
    <i>
      <x v="4"/>
    </i>
  </colItems>
  <dataFields count="1">
    <dataField name="Avg. Time " fld="2" subtotal="average" baseField="8" baseItem="0"/>
  </dataFields>
  <formats count="27">
    <format dxfId="44">
      <pivotArea outline="0" collapsedLevelsAreSubtotals="1" fieldPosition="0"/>
    </format>
    <format dxfId="43">
      <pivotArea type="all" dataOnly="0" outline="0" fieldPosition="0"/>
    </format>
    <format dxfId="42">
      <pivotArea outline="0" collapsedLevelsAreSubtotals="1" fieldPosition="0"/>
    </format>
    <format dxfId="41">
      <pivotArea type="origin" dataOnly="0" labelOnly="1" outline="0" fieldPosition="0"/>
    </format>
    <format dxfId="40">
      <pivotArea field="9" type="button" dataOnly="0" labelOnly="1" outline="0" axis="axisCol" fieldPosition="0"/>
    </format>
    <format dxfId="39">
      <pivotArea type="topRight" dataOnly="0" labelOnly="1" outline="0" fieldPosition="0"/>
    </format>
    <format dxfId="38">
      <pivotArea field="8" type="button" dataOnly="0" labelOnly="1" outline="0" axis="axisRow" fieldPosition="0"/>
    </format>
    <format dxfId="37">
      <pivotArea dataOnly="0" labelOnly="1" fieldPosition="0">
        <references count="1">
          <reference field="9" count="0"/>
        </references>
      </pivotArea>
    </format>
    <format dxfId="36">
      <pivotArea dataOnly="0" labelOnly="1" fieldPosition="0">
        <references count="1">
          <reference field="8" count="0"/>
        </references>
      </pivotArea>
    </format>
    <format dxfId="35">
      <pivotArea outline="0" collapsedLevelsAreSubtotals="1" fieldPosition="0"/>
    </format>
    <format dxfId="34">
      <pivotArea dataOnly="0" labelOnly="1" fieldPosition="0">
        <references count="1">
          <reference field="8" count="0"/>
        </references>
      </pivotArea>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9" type="button" dataOnly="0" labelOnly="1" outline="0" axis="axisCol" fieldPosition="0"/>
    </format>
    <format dxfId="29">
      <pivotArea type="topRight" dataOnly="0" labelOnly="1" outline="0" fieldPosition="0"/>
    </format>
    <format dxfId="28">
      <pivotArea field="8" type="button" dataOnly="0" labelOnly="1" outline="0" axis="axisRow" fieldPosition="0"/>
    </format>
    <format dxfId="27">
      <pivotArea dataOnly="0" labelOnly="1" fieldPosition="0">
        <references count="1">
          <reference field="8" count="0"/>
        </references>
      </pivotArea>
    </format>
    <format dxfId="26">
      <pivotArea dataOnly="0" labelOnly="1" fieldPosition="0">
        <references count="1">
          <reference field="9" count="0"/>
        </references>
      </pivotArea>
    </format>
    <format dxfId="25">
      <pivotArea type="all" dataOnly="0" outline="0" fieldPosition="0"/>
    </format>
    <format dxfId="24">
      <pivotArea outline="0" collapsedLevelsAreSubtotals="1" fieldPosition="0"/>
    </format>
    <format dxfId="23">
      <pivotArea type="origin" dataOnly="0" labelOnly="1" outline="0" fieldPosition="0"/>
    </format>
    <format dxfId="22">
      <pivotArea field="9" type="button" dataOnly="0" labelOnly="1" outline="0" axis="axisCol" fieldPosition="0"/>
    </format>
    <format dxfId="21">
      <pivotArea type="topRight" dataOnly="0" labelOnly="1" outline="0" fieldPosition="0"/>
    </format>
    <format dxfId="20">
      <pivotArea field="8" type="button" dataOnly="0" labelOnly="1" outline="0" axis="axisRow" fieldPosition="0"/>
    </format>
    <format dxfId="19">
      <pivotArea dataOnly="0" labelOnly="1" fieldPosition="0">
        <references count="1">
          <reference field="8" count="0"/>
        </references>
      </pivotArea>
    </format>
    <format dxfId="18">
      <pivotArea dataOnly="0" labelOnly="1" fieldPosition="0">
        <references count="1">
          <reference field="9" count="0"/>
        </references>
      </pivotArea>
    </format>
  </formats>
  <conditionalFormats count="1">
    <conditionalFormat scope="field" priority="2">
      <pivotAreas count="1">
        <pivotArea outline="0" collapsedLevelsAreSubtotals="1" fieldPosition="0">
          <references count="3">
            <reference field="4294967294" count="1" selected="0">
              <x v="0"/>
            </reference>
            <reference field="8" count="0" selected="0"/>
            <reference field="9" count="0" selected="0"/>
          </references>
        </pivotArea>
      </pivotAreas>
    </conditionalFormat>
  </conditional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24:B28" firstHeaderRow="1" firstDataRow="1" firstDataCol="1"/>
  <pivotFields count="22">
    <pivotField numFmtId="1" showAll="0"/>
    <pivotField numFmtId="2" showAll="0"/>
    <pivotField dataField="1" showAll="0"/>
    <pivotField showAll="0">
      <items count="4">
        <item x="0"/>
        <item x="1"/>
        <item x="2"/>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showAll="0">
      <items count="6">
        <item x="2"/>
        <item x="4"/>
        <item x="3"/>
        <item x="0"/>
        <item x="1"/>
        <item t="default"/>
      </items>
    </pivotField>
    <pivotField showAll="0">
      <items count="6">
        <item x="1"/>
        <item x="4"/>
        <item x="0"/>
        <item x="3"/>
        <item x="2"/>
        <item t="default"/>
      </items>
    </pivotField>
    <pivotField numFmtId="14"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ragToRow="0" dragToCol="0" dragToPage="0" showAll="0" defaultSubtotal="0"/>
    <pivotField dragToRow="0" dragToCol="0" dragToPage="0" showAll="0" defaultSubtotal="0"/>
  </pivotFields>
  <rowFields count="1">
    <field x="15"/>
  </rowFields>
  <rowItems count="4">
    <i>
      <x v="1"/>
    </i>
    <i>
      <x v="3"/>
    </i>
    <i>
      <x v="2"/>
    </i>
    <i>
      <x/>
    </i>
  </rowItems>
  <colItems count="1">
    <i/>
  </colItems>
  <dataFields count="1">
    <dataField name="Avg. Time (min)" fld="2" subtotal="average" baseField="5" baseItem="0" numFmtId="164"/>
  </dataFields>
  <formats count="6">
    <format dxfId="50">
      <pivotArea outline="0" collapsedLevelsAreSubtotals="1" fieldPosition="0"/>
    </format>
    <format dxfId="49">
      <pivotArea type="all" dataOnly="0" outline="0" fieldPosition="0"/>
    </format>
    <format dxfId="48">
      <pivotArea outline="0" collapsedLevelsAreSubtotals="1" fieldPosition="0"/>
    </format>
    <format dxfId="47">
      <pivotArea field="15" type="button" dataOnly="0" labelOnly="1" outline="0" axis="axisRow" fieldPosition="0"/>
    </format>
    <format dxfId="46">
      <pivotArea dataOnly="0" labelOnly="1" fieldPosition="0">
        <references count="1">
          <reference field="15" count="0"/>
        </references>
      </pivotArea>
    </format>
    <format dxfId="4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16:B20" firstHeaderRow="1" firstDataRow="1" firstDataCol="1"/>
  <pivotFields count="22">
    <pivotField numFmtId="1" showAll="0"/>
    <pivotField numFmtId="2" showAll="0"/>
    <pivotField dataField="1" showAll="0"/>
    <pivotField showAll="0">
      <items count="4">
        <item x="0"/>
        <item x="1"/>
        <item x="2"/>
        <item t="default"/>
      </items>
    </pivotField>
    <pivotField numFmtId="2" showAll="0"/>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numFmtId="22" showAll="0"/>
    <pivotField showAll="0">
      <items count="6">
        <item x="2"/>
        <item x="4"/>
        <item x="3"/>
        <item x="0"/>
        <item x="1"/>
        <item t="default"/>
      </items>
    </pivotField>
    <pivotField showAll="0">
      <items count="6">
        <item x="1"/>
        <item x="4"/>
        <item x="0"/>
        <item x="3"/>
        <item x="2"/>
        <item t="default"/>
      </items>
    </pivotField>
    <pivotField numFmtId="14"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5"/>
  </rowFields>
  <rowItems count="4">
    <i>
      <x v="2"/>
    </i>
    <i>
      <x v="1"/>
    </i>
    <i>
      <x v="3"/>
    </i>
    <i>
      <x/>
    </i>
  </rowItems>
  <colItems count="1">
    <i/>
  </colItems>
  <dataFields count="1">
    <dataField name="Average of delivery_time_min" fld="2" subtotal="average" baseField="5" baseItem="0" numFmtId="164"/>
  </dataFields>
  <formats count="6">
    <format dxfId="56">
      <pivotArea outline="0" collapsedLevelsAreSubtotals="1" fieldPosition="0"/>
    </format>
    <format dxfId="55">
      <pivotArea type="all" dataOnly="0" outline="0" fieldPosition="0"/>
    </format>
    <format dxfId="54">
      <pivotArea outline="0" collapsedLevelsAreSubtotals="1" fieldPosition="0"/>
    </format>
    <format dxfId="53">
      <pivotArea field="5" type="button" dataOnly="0" labelOnly="1" outline="0" axis="axisRow" fieldPosition="0"/>
    </format>
    <format dxfId="52">
      <pivotArea dataOnly="0" labelOnly="1" fieldPosition="0">
        <references count="1">
          <reference field="5" count="0"/>
        </references>
      </pivotArea>
    </format>
    <format dxfId="5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9:B12" firstHeaderRow="1" firstDataRow="1" firstDataCol="1"/>
  <pivotFields count="22">
    <pivotField numFmtId="1" showAll="0"/>
    <pivotField numFmtId="2" showAll="0"/>
    <pivotField dataField="1" showAll="0"/>
    <pivotField axis="axisRow" showAll="0">
      <items count="4">
        <item x="2"/>
        <item x="1"/>
        <item x="0"/>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showAll="0">
      <items count="6">
        <item x="2"/>
        <item x="4"/>
        <item x="3"/>
        <item x="0"/>
        <item x="1"/>
        <item t="default"/>
      </items>
    </pivotField>
    <pivotField showAll="0">
      <items count="6">
        <item x="1"/>
        <item x="4"/>
        <item x="0"/>
        <item x="3"/>
        <item x="2"/>
        <item t="default"/>
      </items>
    </pivotField>
    <pivotField numFmtId="14"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3"/>
  </rowFields>
  <rowItems count="3">
    <i>
      <x/>
    </i>
    <i>
      <x v="1"/>
    </i>
    <i>
      <x v="2"/>
    </i>
  </rowItems>
  <colItems count="1">
    <i/>
  </colItems>
  <dataFields count="1">
    <dataField name="Average of delivery_time_min" fld="2" subtotal="average" baseField="10" baseItem="0" numFmtId="164"/>
  </dataFields>
  <formats count="6">
    <format dxfId="62">
      <pivotArea outline="0" collapsedLevelsAreSubtotals="1" fieldPosition="0"/>
    </format>
    <format dxfId="61">
      <pivotArea type="all" dataOnly="0" outline="0" fieldPosition="0"/>
    </format>
    <format dxfId="60">
      <pivotArea outline="0" collapsedLevelsAreSubtotals="1" fieldPosition="0"/>
    </format>
    <format dxfId="59">
      <pivotArea field="3" type="button" dataOnly="0" labelOnly="1" outline="0" axis="axisRow" fieldPosition="0"/>
    </format>
    <format dxfId="58">
      <pivotArea dataOnly="0" labelOnly="1" fieldPosition="0">
        <references count="1">
          <reference field="3" count="0"/>
        </references>
      </pivotArea>
    </format>
    <format dxfId="57">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942090-F533-44EC-83B1-6C45DBB1BA80}"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13:B17" firstHeaderRow="1" firstDataRow="1" firstDataCol="1"/>
  <pivotFields count="22">
    <pivotField dataField="1" numFmtId="1" showAll="0"/>
    <pivotField numFmtId="2" showAll="0"/>
    <pivotField showAll="0"/>
    <pivotField showAll="0">
      <items count="4">
        <item x="0"/>
        <item x="1"/>
        <item x="2"/>
        <item t="default"/>
      </items>
    </pivotField>
    <pivotField numFmtId="2" showAll="0"/>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numFmtId="22" showAll="0"/>
    <pivotField showAll="0">
      <items count="6">
        <item x="2"/>
        <item x="4"/>
        <item x="3"/>
        <item x="0"/>
        <item x="1"/>
        <item t="default"/>
      </items>
    </pivotField>
    <pivotField showAll="0">
      <items count="6">
        <item x="1"/>
        <item x="4"/>
        <item x="0"/>
        <item x="3"/>
        <item x="2"/>
        <item t="default"/>
      </items>
    </pivotField>
    <pivotField numFmtId="14"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5"/>
  </rowFields>
  <rowItems count="4">
    <i>
      <x v="2"/>
    </i>
    <i>
      <x v="1"/>
    </i>
    <i>
      <x/>
    </i>
    <i>
      <x v="3"/>
    </i>
  </rowItems>
  <colItems count="1">
    <i/>
  </colItems>
  <dataFields count="1">
    <dataField name="Count of order_id" fld="0" subtotal="count" baseField="5" baseItem="0"/>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60BC8C-7ED5-49C3-A907-3330CFBD3C5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4:B8" firstHeaderRow="1" firstDataRow="1" firstDataCol="1"/>
  <pivotFields count="22">
    <pivotField numFmtId="1" showAll="0"/>
    <pivotField numFmtId="2" showAll="0"/>
    <pivotField dataField="1" showAll="0"/>
    <pivotField showAll="0">
      <items count="4">
        <item x="0"/>
        <item x="1"/>
        <item x="2"/>
        <item t="default"/>
      </items>
    </pivotField>
    <pivotField numFmtId="2" showAll="0"/>
    <pivotField showAll="0">
      <items count="5">
        <item x="0"/>
        <item x="2"/>
        <item x="1"/>
        <item x="3"/>
        <item t="default"/>
      </items>
    </pivotField>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numFmtId="22" showAll="0"/>
    <pivotField showAll="0">
      <items count="6">
        <item x="2"/>
        <item x="4"/>
        <item x="3"/>
        <item x="0"/>
        <item x="1"/>
        <item t="default"/>
      </items>
    </pivotField>
    <pivotField showAll="0">
      <items count="6">
        <item x="1"/>
        <item x="4"/>
        <item x="0"/>
        <item x="3"/>
        <item x="2"/>
        <item t="default"/>
      </items>
    </pivotField>
    <pivotField numFmtId="14"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6"/>
  </rowFields>
  <rowItems count="4">
    <i>
      <x/>
    </i>
    <i>
      <x v="2"/>
    </i>
    <i>
      <x v="3"/>
    </i>
    <i>
      <x v="1"/>
    </i>
  </rowItems>
  <colItems count="1">
    <i/>
  </colItems>
  <dataFields count="1">
    <dataField name="Average of delivery_time_min" fld="2" subtotal="average" baseField="10" baseItem="0" numFmtId="164"/>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7CDA9D-339E-4679-8260-3EAC9950C091}"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41:B46" firstHeaderRow="1" firstDataRow="1" firstDataCol="1"/>
  <pivotFields count="22">
    <pivotField dataField="1" numFmtId="1" showAll="0"/>
    <pivotField numFmtId="2" showAll="0"/>
    <pivotField showAll="0"/>
    <pivotField showAll="0">
      <items count="4">
        <item x="0"/>
        <item x="1"/>
        <item x="2"/>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showAll="0">
      <items count="6">
        <item x="2"/>
        <item x="4"/>
        <item x="3"/>
        <item x="0"/>
        <item x="1"/>
        <item t="default"/>
      </items>
    </pivotField>
    <pivotField axis="axisRow" showAll="0" sortType="ascending">
      <items count="6">
        <item x="1"/>
        <item x="4"/>
        <item x="0"/>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9"/>
  </rowFields>
  <rowItems count="5">
    <i>
      <x v="4"/>
    </i>
    <i>
      <x v="3"/>
    </i>
    <i>
      <x/>
    </i>
    <i>
      <x v="1"/>
    </i>
    <i>
      <x v="2"/>
    </i>
  </rowItems>
  <colItems count="1">
    <i/>
  </colItems>
  <dataFields count="1">
    <dataField name="Count of order_id" fld="0" subtotal="count" baseField="16" baseItem="0"/>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231A38B-3498-4F80-A855-96C5CBCFF7B9}"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1:B36" firstHeaderRow="1" firstDataRow="1" firstDataCol="1"/>
  <pivotFields count="22">
    <pivotField dataField="1" numFmtId="1" showAll="0"/>
    <pivotField numFmtId="2" showAll="0"/>
    <pivotField showAll="0"/>
    <pivotField showAll="0">
      <items count="4">
        <item x="0"/>
        <item x="1"/>
        <item x="2"/>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axis="axisRow" showAll="0" sortType="ascending">
      <items count="6">
        <item x="2"/>
        <item x="4"/>
        <item x="3"/>
        <item x="0"/>
        <item x="1"/>
        <item t="default"/>
      </items>
      <autoSortScope>
        <pivotArea dataOnly="0" outline="0" fieldPosition="0">
          <references count="1">
            <reference field="4294967294" count="1" selected="0">
              <x v="0"/>
            </reference>
          </references>
        </pivotArea>
      </autoSortScope>
    </pivotField>
    <pivotField showAll="0">
      <items count="6">
        <item x="1"/>
        <item x="4"/>
        <item x="0"/>
        <item x="3"/>
        <item x="2"/>
        <item t="default"/>
      </items>
    </pivotField>
    <pivotField numFmtId="14"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8"/>
  </rowFields>
  <rowItems count="5">
    <i>
      <x v="1"/>
    </i>
    <i>
      <x v="2"/>
    </i>
    <i>
      <x v="4"/>
    </i>
    <i>
      <x/>
    </i>
    <i>
      <x v="3"/>
    </i>
  </rowItems>
  <colItems count="1">
    <i/>
  </colItems>
  <dataFields count="1">
    <dataField name="Count of order_id" fld="0" subtotal="count" baseField="16" baseItem="0"/>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DCCCAF1-FA40-4568-9F58-1B9DD543AACF}"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22:B26" firstHeaderRow="1" firstDataRow="1" firstDataCol="1"/>
  <pivotFields count="22">
    <pivotField numFmtId="1" showAll="0"/>
    <pivotField numFmtId="2" showAll="0"/>
    <pivotField dataField="1" showAll="0"/>
    <pivotField showAll="0">
      <items count="4">
        <item x="0"/>
        <item x="1"/>
        <item x="2"/>
        <item t="default"/>
      </items>
    </pivotField>
    <pivotField numFmtId="2" showAll="0"/>
    <pivotField showAll="0">
      <items count="5">
        <item x="0"/>
        <item x="2"/>
        <item x="1"/>
        <item x="3"/>
        <item t="default"/>
      </items>
    </pivotField>
    <pivotField showAll="0">
      <items count="5">
        <item x="0"/>
        <item x="1"/>
        <item x="2"/>
        <item x="3"/>
        <item t="default"/>
      </items>
    </pivotField>
    <pivotField numFmtId="22" showAll="0"/>
    <pivotField showAll="0">
      <items count="6">
        <item x="2"/>
        <item x="4"/>
        <item x="3"/>
        <item x="0"/>
        <item x="1"/>
        <item t="default"/>
      </items>
    </pivotField>
    <pivotField showAll="0">
      <items count="6">
        <item x="1"/>
        <item x="4"/>
        <item x="0"/>
        <item x="3"/>
        <item x="2"/>
        <item t="default"/>
      </items>
    </pivotField>
    <pivotField numFmtId="14" showAll="0"/>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 dragToRow="0" dragToCol="0" dragToPage="0" showAll="0" defaultSubtotal="0"/>
  </pivotFields>
  <rowFields count="1">
    <field x="16"/>
  </rowFields>
  <rowItems count="4">
    <i>
      <x v="1"/>
    </i>
    <i>
      <x v="3"/>
    </i>
    <i>
      <x v="2"/>
    </i>
    <i>
      <x/>
    </i>
  </rowItems>
  <colItems count="1">
    <i/>
  </colItems>
  <dataFields count="1">
    <dataField name="Average of delivery_time_min" fld="2" subtotal="average" baseField="16" baseItem="0" numFmtId="164"/>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level" xr10:uid="{899C5332-EA63-4BB9-88A0-4601D5C8CAF1}" sourceName="traffic_level">
  <pivotTables>
    <pivotTable tabId="3" name="PivotTable1"/>
    <pivotTable tabId="3" name="PivotTable2"/>
    <pivotTable tabId="3" name="PivotTable3"/>
    <pivotTable tabId="3" name="PivotTable6"/>
    <pivotTable tabId="4" name="PivotTable10"/>
    <pivotTable tabId="4" name="HEAT MAP"/>
    <pivotTable tabId="4" name="PivotTable7"/>
    <pivotTable tabId="4" name="PivotTable8"/>
    <pivotTable tabId="4" name="PivotTable9"/>
    <pivotTable tabId="6" name="PivotTable1"/>
    <pivotTable tabId="6" name="PivotTable2"/>
    <pivotTable tabId="6" name="PivotTable3"/>
    <pivotTable tabId="6" name="PivotTable4"/>
    <pivotTable tabId="6" name="PivotTable5"/>
    <pivotTable tabId="3" name="PivotTable7"/>
    <pivotTable tabId="4" name="PivotTable12"/>
  </pivotTables>
  <data>
    <tabular pivotCacheId="199833088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mode" xr10:uid="{0852280F-D574-4BC7-BC73-283BFED6822B}" sourceName="delivery_mode">
  <pivotTables>
    <pivotTable tabId="3" name="PivotTable1"/>
    <pivotTable tabId="3" name="PivotTable2"/>
    <pivotTable tabId="3" name="PivotTable3"/>
    <pivotTable tabId="3" name="PivotTable6"/>
    <pivotTable tabId="4" name="PivotTable10"/>
    <pivotTable tabId="4" name="HEAT MAP"/>
    <pivotTable tabId="4" name="PivotTable7"/>
    <pivotTable tabId="4" name="PivotTable8"/>
    <pivotTable tabId="4" name="PivotTable9"/>
    <pivotTable tabId="6" name="PivotTable1"/>
    <pivotTable tabId="6" name="PivotTable2"/>
    <pivotTable tabId="6" name="PivotTable3"/>
    <pivotTable tabId="6" name="PivotTable4"/>
    <pivotTable tabId="6" name="PivotTable5"/>
    <pivotTable tabId="3" name="PivotTable7"/>
    <pivotTable tabId="4" name="PivotTable12"/>
  </pivotTables>
  <data>
    <tabular pivotCacheId="1998330885">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97792924-F678-4130-8F30-051E3CAE4502}" sourceName="weather">
  <pivotTables>
    <pivotTable tabId="3" name="PivotTable1"/>
    <pivotTable tabId="3" name="PivotTable2"/>
    <pivotTable tabId="3" name="PivotTable3"/>
    <pivotTable tabId="3" name="PivotTable6"/>
    <pivotTable tabId="4" name="PivotTable10"/>
    <pivotTable tabId="4" name="HEAT MAP"/>
    <pivotTable tabId="4" name="PivotTable7"/>
    <pivotTable tabId="4" name="PivotTable8"/>
    <pivotTable tabId="4" name="PivotTable9"/>
    <pivotTable tabId="6" name="PivotTable1"/>
    <pivotTable tabId="6" name="PivotTable2"/>
    <pivotTable tabId="6" name="PivotTable3"/>
    <pivotTable tabId="6" name="PivotTable4"/>
    <pivotTable tabId="6" name="PivotTable5"/>
    <pivotTable tabId="3" name="PivotTable7"/>
    <pivotTable tabId="4" name="PivotTable12"/>
  </pivotTables>
  <data>
    <tabular pivotCacheId="1998330885">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zone" xr10:uid="{2C6DE280-A05A-4BB3-A866-669AC3980A21}" sourceName="restaurant_zone">
  <pivotTables>
    <pivotTable tabId="3" name="PivotTable1"/>
    <pivotTable tabId="3" name="PivotTable2"/>
    <pivotTable tabId="3" name="PivotTable3"/>
    <pivotTable tabId="3" name="PivotTable6"/>
    <pivotTable tabId="4" name="PivotTable10"/>
    <pivotTable tabId="4" name="HEAT MAP"/>
    <pivotTable tabId="4" name="PivotTable7"/>
    <pivotTable tabId="4" name="PivotTable8"/>
    <pivotTable tabId="4" name="PivotTable9"/>
    <pivotTable tabId="6" name="PivotTable1"/>
    <pivotTable tabId="6" name="PivotTable2"/>
    <pivotTable tabId="6" name="PivotTable3"/>
    <pivotTable tabId="6" name="PivotTable4"/>
    <pivotTable tabId="6" name="PivotTable5"/>
    <pivotTable tabId="3" name="PivotTable7"/>
    <pivotTable tabId="4" name="PivotTable12"/>
  </pivotTables>
  <data>
    <tabular pivotCacheId="1998330885">
      <items count="5">
        <i x="2" s="1"/>
        <i x="4"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zone" xr10:uid="{511D5FC3-CD34-4FB2-A0FC-DB69E8EB4230}" sourceName="customer_zone">
  <pivotTables>
    <pivotTable tabId="3" name="PivotTable1"/>
    <pivotTable tabId="3" name="PivotTable2"/>
    <pivotTable tabId="3" name="PivotTable3"/>
    <pivotTable tabId="3" name="PivotTable6"/>
    <pivotTable tabId="4" name="PivotTable10"/>
    <pivotTable tabId="4" name="HEAT MAP"/>
    <pivotTable tabId="4" name="PivotTable7"/>
    <pivotTable tabId="4" name="PivotTable8"/>
    <pivotTable tabId="4" name="PivotTable9"/>
    <pivotTable tabId="6" name="PivotTable1"/>
    <pivotTable tabId="6" name="PivotTable2"/>
    <pivotTable tabId="6" name="PivotTable3"/>
    <pivotTable tabId="6" name="PivotTable4"/>
    <pivotTable tabId="6" name="PivotTable5"/>
    <pivotTable tabId="3" name="PivotTable7"/>
    <pivotTable tabId="4" name="PivotTable12"/>
  </pivotTables>
  <data>
    <tabular pivotCacheId="1998330885">
      <items count="5">
        <i x="1" s="1"/>
        <i x="4"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ffic_level 2" xr10:uid="{79344CD9-0C6B-4C4E-826F-962E3CE55F3D}" cache="Slicer_traffic_level" caption="traffic_level" style="Slicer Style 1" rowHeight="241300"/>
  <slicer name="delivery_mode 2" xr10:uid="{DF759D17-77E7-4C7A-A4D7-B4D5B3CB3A8D}" cache="Slicer_delivery_mode" caption="Vehicle" style="Slicer Style 1" rowHeight="241300"/>
  <slicer name="weather 1" xr10:uid="{00209EDB-4C78-4061-BF5B-DD04C363E77F}" cache="Slicer_weather" caption="weather" style="Slicer Style 1" rowHeight="241300"/>
  <slicer name="restaurant_zone 2" xr10:uid="{87C74513-7E70-4E3B-AB16-27C4D7B61EC4}" cache="Slicer_restaurant_zone" caption="Rest.Zone" style="Slicer Style 1" rowHeight="241300"/>
  <slicer name="customer_zone 2" xr10:uid="{DEF661EF-B1C0-4AF7-BC2F-7DCB10CD59C3}" cache="Slicer_customer_zone" caption="Cust.Zon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ffic_level 3" xr10:uid="{9A60752C-5EB3-4A38-97BD-8BD6B4D5BFF1}" cache="Slicer_traffic_level" caption="traffic_level" style="Slicer Style 1" rowHeight="241300"/>
  <slicer name="delivery_mode 3" xr10:uid="{8AD7B996-75C7-465A-96F1-A6694C700B0A}" cache="Slicer_delivery_mode" caption="Vehicle" style="Slicer Style 1" rowHeight="241300"/>
  <slicer name="weather 2" xr10:uid="{CCD33EC5-EDBC-49EF-8D13-53A6AB27757B}" cache="Slicer_weather" caption="weather" style="Slicer Style 1" rowHeight="241300"/>
  <slicer name="restaurant_zone 3" xr10:uid="{D4A9187D-C55E-4566-9F5F-3FAA566A3851}" cache="Slicer_restaurant_zone" caption="Rest.Zone" style="Slicer Style 1" rowHeight="241300"/>
  <slicer name="customer_zone 3" xr10:uid="{EA58661B-4663-4213-A6CC-C7BFC62E2B9D}" cache="Slicer_customer_zone" caption="Cust.Zone"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ffic_level" xr10:uid="{071094FD-412F-4ACC-B690-458CE861B352}" cache="Slicer_traffic_level" caption="traffic_level" rowHeight="241300"/>
  <slicer name="delivery_mode" xr10:uid="{91168502-A9A1-4980-BA7F-CD583A6998CC}" cache="Slicer_delivery_mode" caption="delivery_mode" rowHeight="241300"/>
  <slicer name="weather" xr10:uid="{5A0DD0A1-6E1A-48E4-8111-2658E1538AD4}" cache="Slicer_weather" caption="weather" rowHeight="241300"/>
  <slicer name="restaurant_zone" xr10:uid="{C047A899-8AE8-42EE-91EE-12AB3C304C36}" cache="Slicer_restaurant_zone" caption="restaurant_zone" rowHeight="241300"/>
  <slicer name="customer_zone" xr10:uid="{55019B6D-F9FB-4B22-801B-1C3BD9529CCB}" cache="Slicer_customer_zone" caption="customer_zon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Delivery" displayName="tblDelivery" ref="A1:T201" totalsRowShown="0">
  <autoFilter ref="A1:T201" xr:uid="{00000000-0009-0000-0100-000001000000}"/>
  <tableColumns count="20">
    <tableColumn id="1" xr3:uid="{00000000-0010-0000-0000-000001000000}" name="order_id" dataDxfId="92"/>
    <tableColumn id="2" xr3:uid="{00000000-0010-0000-0000-000002000000}" name="distance_km" dataDxfId="91"/>
    <tableColumn id="3" xr3:uid="{00000000-0010-0000-0000-000003000000}" name="delivery_time_min" dataDxfId="90"/>
    <tableColumn id="4" xr3:uid="{00000000-0010-0000-0000-000004000000}" name="traffic_level" dataDxfId="89"/>
    <tableColumn id="5" xr3:uid="{00000000-0010-0000-0000-000005000000}" name="route_length_km" dataDxfId="88"/>
    <tableColumn id="6" xr3:uid="{00000000-0010-0000-0000-000006000000}" name="delivery_mode"/>
    <tableColumn id="7" xr3:uid="{00000000-0010-0000-0000-000007000000}" name="weather"/>
    <tableColumn id="8" xr3:uid="{00000000-0010-0000-0000-000008000000}" name="order_time" dataDxfId="87"/>
    <tableColumn id="9" xr3:uid="{00000000-0010-0000-0000-000009000000}" name="restaurant_zone"/>
    <tableColumn id="10" xr3:uid="{00000000-0010-0000-0000-00000A000000}" name="customer_zone"/>
    <tableColumn id="11" xr3:uid="{00000000-0010-0000-0000-00000B000000}" name="h_date" dataDxfId="86">
      <calculatedColumnFormula>INT(tblDelivery[[#This Row],[order_time]])</calculatedColumnFormula>
    </tableColumn>
    <tableColumn id="12" xr3:uid="{00000000-0010-0000-0000-00000C000000}" name="h_hour" dataDxfId="85">
      <calculatedColumnFormula>HOUR(tblDelivery[[#This Row],[order_time]])</calculatedColumnFormula>
    </tableColumn>
    <tableColumn id="13" xr3:uid="{00000000-0010-0000-0000-00000D000000}" name="On_time" dataDxfId="84">
      <calculatedColumnFormula>IF(tblDelivery[[#This Row],[delivery_time_min]]&lt;=Time_Target,1,0)</calculatedColumnFormula>
    </tableColumn>
    <tableColumn id="14" xr3:uid="{00000000-0010-0000-0000-00000E000000}" name="h_include" dataDxfId="83">
      <calculatedColumnFormula>IF(AND(COUNTBLANK(tblDelivery[[#This Row],[order_id]:[customer_zone]])=0,tblDelivery[[#This Row],[delivery_time_min]]&gt;0,tblDelivery[[#This Row],[distance_km]]&gt;0,tblDelivery[[#This Row],[route_length_km]]&gt;=tblDelivery[[#This Row],[distance_km]]*0.99,COUNTIFS(tblDelivery[order_id],tblDelivery[[#This Row],[order_id]])=1),1,0)</calculatedColumnFormula>
    </tableColumn>
    <tableColumn id="15" xr3:uid="{00000000-0010-0000-0000-00000F000000}" name="h_visible" dataDxfId="82">
      <calculatedColumnFormula>SUBTOTAL(103,tblDelivery[[#This Row],[order_id]])</calculatedColumnFormula>
    </tableColumn>
    <tableColumn id="16" xr3:uid="{00000000-0010-0000-0000-000010000000}" name="Distance Band" dataDxfId="81">
      <calculatedColumnFormula array="1">_xlfn.IFS(tblDelivery[[#This Row],[distance_km]]&lt;2,"&lt; 2 km",tblDelivery[[#This Row],[distance_km]]&lt;5,"2 to 5 km",tblDelivery[[#This Row],[distance_km]]&lt;10,"5 to 10 km",TRUE,"10 km and above")</calculatedColumnFormula>
    </tableColumn>
    <tableColumn id="17" xr3:uid="{00000000-0010-0000-0000-000011000000}" name="Route Band" dataDxfId="80">
      <calculatedColumnFormula array="1">_xlfn.IFS(tblDelivery[[#This Row],[route_length_km]]&lt;2,"&lt;2 km",tblDelivery[[#This Row],[route_length_km]]&lt;5,"2 to 5 km",tblDelivery[[#This Row],[route_length_km]]&lt;10,"5 to 10 km",TRUE,"10 km and above")</calculatedColumnFormula>
    </tableColumn>
    <tableColumn id="18" xr3:uid="{00000000-0010-0000-0000-000012000000}" name="Column8" dataDxfId="79"/>
    <tableColumn id="19" xr3:uid="{00000000-0010-0000-0000-000013000000}" name="Column1" dataDxfId="78"/>
    <tableColumn id="20" xr3:uid="{00000000-0010-0000-0000-000014000000}" name="Column2" dataDxfId="7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DASHBOARD 2">
      <a:dk1>
        <a:srgbClr val="F5EFE6"/>
      </a:dk1>
      <a:lt1>
        <a:srgbClr val="FFFBF5"/>
      </a:lt1>
      <a:dk2>
        <a:srgbClr val="3E2723"/>
      </a:dk2>
      <a:lt2>
        <a:srgbClr val="8D6E63"/>
      </a:lt2>
      <a:accent1>
        <a:srgbClr val="6D4C41"/>
      </a:accent1>
      <a:accent2>
        <a:srgbClr val="C8A27A"/>
      </a:accent2>
      <a:accent3>
        <a:srgbClr val="5B8C5A"/>
      </a:accent3>
      <a:accent4>
        <a:srgbClr val="D9A441"/>
      </a:accent4>
      <a:accent5>
        <a:srgbClr val="B23A2E"/>
      </a:accent5>
      <a:accent6>
        <a:srgbClr val="E6D9C8"/>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4.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8.xml"/><Relationship Id="rId7" Type="http://schemas.openxmlformats.org/officeDocument/2006/relationships/printerSettings" Target="../printerSettings/printerSettings3.bin"/><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6.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05CAC-C633-4884-A017-1E3FDBE2ACEC}">
  <dimension ref="A1"/>
  <sheetViews>
    <sheetView showGridLines="0" showRowColHeaders="0" zoomScale="40" zoomScaleNormal="40" workbookViewId="0">
      <selection activeCell="AF26" sqref="AF26"/>
    </sheetView>
  </sheetViews>
  <sheetFormatPr defaultRowHeight="15" x14ac:dyDescent="0.25"/>
  <cols>
    <col min="1" max="16384" width="9.140625" style="23"/>
  </cols>
  <sheetData>
    <row r="1" spans="1:1" x14ac:dyDescent="0.25">
      <c r="A1" s="3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256DB-775C-492E-97FB-C253E80B97B6}">
  <dimension ref="A1"/>
  <sheetViews>
    <sheetView showGridLines="0" showRowColHeaders="0" zoomScale="40" zoomScaleNormal="40" workbookViewId="0">
      <selection activeCell="AF64" sqref="AF64"/>
    </sheetView>
  </sheetViews>
  <sheetFormatPr defaultRowHeight="15" x14ac:dyDescent="0.25"/>
  <cols>
    <col min="1" max="16384" width="9.140625" style="2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abSelected="1" workbookViewId="0">
      <selection activeCell="L192" sqref="L192"/>
    </sheetView>
  </sheetViews>
  <sheetFormatPr defaultRowHeight="15" x14ac:dyDescent="0.25"/>
  <cols>
    <col min="8" max="8" width="15.85546875" style="1" bestFit="1" customWidth="1"/>
  </cols>
  <sheetData>
    <row r="1" spans="1:10" x14ac:dyDescent="0.25">
      <c r="A1" s="19" t="s">
        <v>0</v>
      </c>
      <c r="B1" s="19" t="s">
        <v>1</v>
      </c>
      <c r="C1" s="19" t="s">
        <v>2</v>
      </c>
      <c r="D1" s="19" t="s">
        <v>3</v>
      </c>
      <c r="E1" s="19" t="s">
        <v>4</v>
      </c>
      <c r="F1" s="19" t="s">
        <v>5</v>
      </c>
      <c r="G1" s="19" t="s">
        <v>6</v>
      </c>
      <c r="H1" s="22" t="s">
        <v>7</v>
      </c>
      <c r="I1" s="19" t="s">
        <v>8</v>
      </c>
      <c r="J1" s="19" t="s">
        <v>9</v>
      </c>
    </row>
    <row r="2" spans="1:10" x14ac:dyDescent="0.25">
      <c r="A2" s="19">
        <v>1</v>
      </c>
      <c r="B2" s="19">
        <v>7.97</v>
      </c>
      <c r="C2" s="19">
        <v>63.8</v>
      </c>
      <c r="D2" s="19" t="s">
        <v>10</v>
      </c>
      <c r="E2" s="19">
        <v>9.75</v>
      </c>
      <c r="F2" s="19" t="s">
        <v>11</v>
      </c>
      <c r="G2" s="19" t="s">
        <v>12</v>
      </c>
      <c r="H2" s="22">
        <v>45658.645138888889</v>
      </c>
      <c r="I2" s="19" t="s">
        <v>13</v>
      </c>
      <c r="J2" s="19" t="s">
        <v>14</v>
      </c>
    </row>
    <row r="3" spans="1:10" x14ac:dyDescent="0.25">
      <c r="A3" s="19">
        <v>2</v>
      </c>
      <c r="B3" s="19">
        <v>0.9</v>
      </c>
      <c r="C3" s="19">
        <v>7.6</v>
      </c>
      <c r="D3" s="19" t="s">
        <v>10</v>
      </c>
      <c r="E3" s="19">
        <v>1.28</v>
      </c>
      <c r="F3" s="19" t="s">
        <v>15</v>
      </c>
      <c r="G3" s="19" t="s">
        <v>16</v>
      </c>
      <c r="H3" s="22">
        <v>45660.032638888886</v>
      </c>
      <c r="I3" s="19" t="s">
        <v>17</v>
      </c>
      <c r="J3" s="19" t="s">
        <v>14</v>
      </c>
    </row>
    <row r="4" spans="1:10" x14ac:dyDescent="0.25">
      <c r="A4" s="19">
        <v>3</v>
      </c>
      <c r="B4" s="19">
        <v>11.12</v>
      </c>
      <c r="C4" s="19">
        <v>78</v>
      </c>
      <c r="D4" s="19" t="s">
        <v>18</v>
      </c>
      <c r="E4" s="19">
        <v>16.649999999999999</v>
      </c>
      <c r="F4" s="19" t="s">
        <v>19</v>
      </c>
      <c r="G4" s="19" t="s">
        <v>20</v>
      </c>
      <c r="H4" s="22">
        <v>45661.730555555558</v>
      </c>
      <c r="I4" s="19" t="s">
        <v>13</v>
      </c>
      <c r="J4" s="19" t="s">
        <v>21</v>
      </c>
    </row>
    <row r="5" spans="1:10" x14ac:dyDescent="0.25">
      <c r="A5" s="19">
        <v>4</v>
      </c>
      <c r="B5" s="19">
        <v>4.9000000000000004</v>
      </c>
      <c r="C5" s="19">
        <v>24.8</v>
      </c>
      <c r="D5" s="19" t="s">
        <v>22</v>
      </c>
      <c r="E5" s="19">
        <v>5.25</v>
      </c>
      <c r="F5" s="19" t="s">
        <v>23</v>
      </c>
      <c r="G5" s="19" t="s">
        <v>20</v>
      </c>
      <c r="H5" s="22">
        <v>45658.591666666667</v>
      </c>
      <c r="I5" s="19" t="s">
        <v>21</v>
      </c>
      <c r="J5" s="19" t="s">
        <v>21</v>
      </c>
    </row>
    <row r="6" spans="1:10" x14ac:dyDescent="0.25">
      <c r="A6" s="19">
        <v>5</v>
      </c>
      <c r="B6" s="19">
        <v>10.039999999999999</v>
      </c>
      <c r="C6" s="19">
        <v>56</v>
      </c>
      <c r="D6" s="19" t="s">
        <v>10</v>
      </c>
      <c r="E6" s="19">
        <v>11.34</v>
      </c>
      <c r="F6" s="19" t="s">
        <v>15</v>
      </c>
      <c r="G6" s="19" t="s">
        <v>20</v>
      </c>
      <c r="H6" s="22">
        <v>45659.701388888891</v>
      </c>
      <c r="I6" s="19" t="s">
        <v>17</v>
      </c>
      <c r="J6" s="19" t="s">
        <v>14</v>
      </c>
    </row>
    <row r="7" spans="1:10" x14ac:dyDescent="0.25">
      <c r="A7" s="19">
        <v>6</v>
      </c>
      <c r="B7" s="19">
        <v>10.96</v>
      </c>
      <c r="C7" s="19">
        <v>76.8</v>
      </c>
      <c r="D7" s="19" t="s">
        <v>10</v>
      </c>
      <c r="E7" s="19">
        <v>13.62</v>
      </c>
      <c r="F7" s="19" t="s">
        <v>15</v>
      </c>
      <c r="G7" s="19" t="s">
        <v>24</v>
      </c>
      <c r="H7" s="22">
        <v>45659.413888888892</v>
      </c>
      <c r="I7" s="19" t="s">
        <v>17</v>
      </c>
      <c r="J7" s="19" t="s">
        <v>14</v>
      </c>
    </row>
    <row r="8" spans="1:10" x14ac:dyDescent="0.25">
      <c r="A8" s="19">
        <v>7</v>
      </c>
      <c r="B8" s="19">
        <v>9.6</v>
      </c>
      <c r="C8" s="19">
        <v>54.4</v>
      </c>
      <c r="D8" s="19" t="s">
        <v>22</v>
      </c>
      <c r="E8" s="19">
        <v>13.32</v>
      </c>
      <c r="F8" s="19" t="s">
        <v>19</v>
      </c>
      <c r="G8" s="19" t="s">
        <v>24</v>
      </c>
      <c r="H8" s="22">
        <v>45660.020138888889</v>
      </c>
      <c r="I8" s="19" t="s">
        <v>21</v>
      </c>
      <c r="J8" s="19" t="s">
        <v>14</v>
      </c>
    </row>
    <row r="9" spans="1:10" x14ac:dyDescent="0.25">
      <c r="A9" s="19">
        <v>8</v>
      </c>
      <c r="B9" s="19">
        <v>6.24</v>
      </c>
      <c r="C9" s="19">
        <v>52.9</v>
      </c>
      <c r="D9" s="19" t="s">
        <v>22</v>
      </c>
      <c r="E9" s="19">
        <v>8.41</v>
      </c>
      <c r="F9" s="19" t="s">
        <v>19</v>
      </c>
      <c r="G9" s="19" t="s">
        <v>16</v>
      </c>
      <c r="H9" s="22">
        <v>45659.9</v>
      </c>
      <c r="I9" s="19" t="s">
        <v>13</v>
      </c>
      <c r="J9" s="19" t="s">
        <v>21</v>
      </c>
    </row>
    <row r="10" spans="1:10" x14ac:dyDescent="0.25">
      <c r="A10" s="19">
        <v>9</v>
      </c>
      <c r="B10" s="19">
        <v>9.98</v>
      </c>
      <c r="C10" s="19">
        <v>81.400000000000006</v>
      </c>
      <c r="D10" s="19" t="s">
        <v>18</v>
      </c>
      <c r="E10" s="19">
        <v>14.87</v>
      </c>
      <c r="F10" s="19" t="s">
        <v>11</v>
      </c>
      <c r="G10" s="19" t="s">
        <v>20</v>
      </c>
      <c r="H10" s="22">
        <v>45658.34652777778</v>
      </c>
      <c r="I10" s="19" t="s">
        <v>21</v>
      </c>
      <c r="J10" s="19" t="s">
        <v>17</v>
      </c>
    </row>
    <row r="11" spans="1:10" x14ac:dyDescent="0.25">
      <c r="A11" s="19">
        <v>10</v>
      </c>
      <c r="B11" s="19">
        <v>2.48</v>
      </c>
      <c r="C11" s="19">
        <v>17.100000000000001</v>
      </c>
      <c r="D11" s="19" t="s">
        <v>10</v>
      </c>
      <c r="E11" s="19">
        <v>3.38</v>
      </c>
      <c r="F11" s="19" t="s">
        <v>15</v>
      </c>
      <c r="G11" s="19" t="s">
        <v>24</v>
      </c>
      <c r="H11" s="22">
        <v>45658.394444444442</v>
      </c>
      <c r="I11" s="19" t="s">
        <v>13</v>
      </c>
      <c r="J11" s="19" t="s">
        <v>14</v>
      </c>
    </row>
    <row r="12" spans="1:10" x14ac:dyDescent="0.25">
      <c r="A12" s="19">
        <v>11</v>
      </c>
      <c r="B12" s="19">
        <v>7.23</v>
      </c>
      <c r="C12" s="19">
        <v>47.7</v>
      </c>
      <c r="D12" s="19" t="s">
        <v>18</v>
      </c>
      <c r="E12" s="19">
        <v>7.63</v>
      </c>
      <c r="F12" s="19" t="s">
        <v>19</v>
      </c>
      <c r="G12" s="19" t="s">
        <v>20</v>
      </c>
      <c r="H12" s="22">
        <v>45660.64166666667</v>
      </c>
      <c r="I12" s="19" t="s">
        <v>17</v>
      </c>
      <c r="J12" s="19" t="s">
        <v>21</v>
      </c>
    </row>
    <row r="13" spans="1:10" x14ac:dyDescent="0.25">
      <c r="A13" s="19">
        <v>12</v>
      </c>
      <c r="B13" s="19">
        <v>6.65</v>
      </c>
      <c r="C13" s="19">
        <v>27.8</v>
      </c>
      <c r="D13" s="19" t="s">
        <v>10</v>
      </c>
      <c r="E13" s="19">
        <v>6.69</v>
      </c>
      <c r="F13" s="19" t="s">
        <v>19</v>
      </c>
      <c r="G13" s="19" t="s">
        <v>20</v>
      </c>
      <c r="H13" s="22">
        <v>45660.282638888886</v>
      </c>
      <c r="I13" s="19" t="s">
        <v>21</v>
      </c>
      <c r="J13" s="19" t="s">
        <v>17</v>
      </c>
    </row>
    <row r="14" spans="1:10" x14ac:dyDescent="0.25">
      <c r="A14" s="19">
        <v>13</v>
      </c>
      <c r="B14" s="19">
        <v>11.42</v>
      </c>
      <c r="C14" s="19">
        <v>83.4</v>
      </c>
      <c r="D14" s="19" t="s">
        <v>18</v>
      </c>
      <c r="E14" s="19">
        <v>13.97</v>
      </c>
      <c r="F14" s="19" t="s">
        <v>15</v>
      </c>
      <c r="G14" s="19" t="s">
        <v>20</v>
      </c>
      <c r="H14" s="22">
        <v>45660.224999999999</v>
      </c>
      <c r="I14" s="19" t="s">
        <v>21</v>
      </c>
      <c r="J14" s="19" t="s">
        <v>13</v>
      </c>
    </row>
    <row r="15" spans="1:10" x14ac:dyDescent="0.25">
      <c r="A15" s="19">
        <v>14</v>
      </c>
      <c r="B15" s="19">
        <v>1.26</v>
      </c>
      <c r="C15" s="19">
        <v>9.9</v>
      </c>
      <c r="D15" s="19" t="s">
        <v>22</v>
      </c>
      <c r="E15" s="19">
        <v>1.55</v>
      </c>
      <c r="F15" s="19" t="s">
        <v>11</v>
      </c>
      <c r="G15" s="19" t="s">
        <v>24</v>
      </c>
      <c r="H15" s="22">
        <v>45660.775694444441</v>
      </c>
      <c r="I15" s="19" t="s">
        <v>13</v>
      </c>
      <c r="J15" s="19" t="s">
        <v>14</v>
      </c>
    </row>
    <row r="16" spans="1:10" x14ac:dyDescent="0.25">
      <c r="A16" s="19">
        <v>15</v>
      </c>
      <c r="B16" s="19">
        <v>9.8800000000000008</v>
      </c>
      <c r="C16" s="19">
        <v>56.6</v>
      </c>
      <c r="D16" s="19" t="s">
        <v>18</v>
      </c>
      <c r="E16" s="19">
        <v>12.45</v>
      </c>
      <c r="F16" s="19" t="s">
        <v>19</v>
      </c>
      <c r="G16" s="19" t="s">
        <v>16</v>
      </c>
      <c r="H16" s="22">
        <v>45660.175000000003</v>
      </c>
      <c r="I16" s="19" t="s">
        <v>14</v>
      </c>
      <c r="J16" s="19" t="s">
        <v>21</v>
      </c>
    </row>
    <row r="17" spans="1:10" x14ac:dyDescent="0.25">
      <c r="A17" s="19">
        <v>16</v>
      </c>
      <c r="B17" s="19">
        <v>4.6900000000000004</v>
      </c>
      <c r="C17" s="19">
        <v>23.2</v>
      </c>
      <c r="D17" s="19" t="s">
        <v>22</v>
      </c>
      <c r="E17" s="19">
        <v>4.8600000000000003</v>
      </c>
      <c r="F17" s="19" t="s">
        <v>23</v>
      </c>
      <c r="G17" s="19" t="s">
        <v>12</v>
      </c>
      <c r="H17" s="22">
        <v>45661.177777777775</v>
      </c>
      <c r="I17" s="19" t="s">
        <v>14</v>
      </c>
      <c r="J17" s="19" t="s">
        <v>14</v>
      </c>
    </row>
    <row r="18" spans="1:10" x14ac:dyDescent="0.25">
      <c r="A18" s="19">
        <v>17</v>
      </c>
      <c r="B18" s="19">
        <v>7.27</v>
      </c>
      <c r="C18" s="19">
        <v>34.9</v>
      </c>
      <c r="D18" s="19" t="s">
        <v>10</v>
      </c>
      <c r="E18" s="19">
        <v>8.66</v>
      </c>
      <c r="F18" s="19" t="s">
        <v>23</v>
      </c>
      <c r="G18" s="19" t="s">
        <v>16</v>
      </c>
      <c r="H18" s="22">
        <v>45660.609722222223</v>
      </c>
      <c r="I18" s="19" t="s">
        <v>21</v>
      </c>
      <c r="J18" s="19" t="s">
        <v>17</v>
      </c>
    </row>
    <row r="19" spans="1:10" x14ac:dyDescent="0.25">
      <c r="A19" s="19">
        <v>18</v>
      </c>
      <c r="B19" s="19">
        <v>10.19</v>
      </c>
      <c r="C19" s="19">
        <v>60.2</v>
      </c>
      <c r="D19" s="19" t="s">
        <v>10</v>
      </c>
      <c r="E19" s="19">
        <v>10.24</v>
      </c>
      <c r="F19" s="19" t="s">
        <v>15</v>
      </c>
      <c r="G19" s="19" t="s">
        <v>24</v>
      </c>
      <c r="H19" s="22">
        <v>45660.09097222222</v>
      </c>
      <c r="I19" s="19" t="s">
        <v>14</v>
      </c>
      <c r="J19" s="19" t="s">
        <v>13</v>
      </c>
    </row>
    <row r="20" spans="1:10" x14ac:dyDescent="0.25">
      <c r="A20" s="19">
        <v>19</v>
      </c>
      <c r="B20" s="19">
        <v>2.11</v>
      </c>
      <c r="C20" s="19">
        <v>9.1999999999999993</v>
      </c>
      <c r="D20" s="19" t="s">
        <v>18</v>
      </c>
      <c r="E20" s="19">
        <v>2.23</v>
      </c>
      <c r="F20" s="19" t="s">
        <v>23</v>
      </c>
      <c r="G20" s="19" t="s">
        <v>20</v>
      </c>
      <c r="H20" s="22">
        <v>45659.715277777781</v>
      </c>
      <c r="I20" s="19" t="s">
        <v>21</v>
      </c>
      <c r="J20" s="19" t="s">
        <v>14</v>
      </c>
    </row>
    <row r="21" spans="1:10" x14ac:dyDescent="0.25">
      <c r="A21" s="19">
        <v>20</v>
      </c>
      <c r="B21" s="19">
        <v>3.12</v>
      </c>
      <c r="C21" s="19">
        <v>18</v>
      </c>
      <c r="D21" s="19" t="s">
        <v>10</v>
      </c>
      <c r="E21" s="19">
        <v>3.41</v>
      </c>
      <c r="F21" s="19" t="s">
        <v>11</v>
      </c>
      <c r="G21" s="19" t="s">
        <v>24</v>
      </c>
      <c r="H21" s="22">
        <v>45661.349305555559</v>
      </c>
      <c r="I21" s="19" t="s">
        <v>13</v>
      </c>
      <c r="J21" s="19" t="s">
        <v>21</v>
      </c>
    </row>
    <row r="22" spans="1:10" x14ac:dyDescent="0.25">
      <c r="A22" s="19">
        <v>21</v>
      </c>
      <c r="B22" s="19">
        <v>8.2200000000000006</v>
      </c>
      <c r="C22" s="19">
        <v>50.4</v>
      </c>
      <c r="D22" s="19" t="s">
        <v>22</v>
      </c>
      <c r="E22" s="19">
        <v>10.42</v>
      </c>
      <c r="F22" s="19" t="s">
        <v>19</v>
      </c>
      <c r="G22" s="19" t="s">
        <v>24</v>
      </c>
      <c r="H22" s="22">
        <v>45658.351388888892</v>
      </c>
      <c r="I22" s="19" t="s">
        <v>25</v>
      </c>
      <c r="J22" s="19" t="s">
        <v>13</v>
      </c>
    </row>
    <row r="23" spans="1:10" x14ac:dyDescent="0.25">
      <c r="A23" s="19">
        <v>22</v>
      </c>
      <c r="B23" s="19">
        <v>8.1300000000000008</v>
      </c>
      <c r="C23" s="19">
        <v>46</v>
      </c>
      <c r="D23" s="19" t="s">
        <v>10</v>
      </c>
      <c r="E23" s="19">
        <v>9.43</v>
      </c>
      <c r="F23" s="19" t="s">
        <v>15</v>
      </c>
      <c r="G23" s="19" t="s">
        <v>24</v>
      </c>
      <c r="H23" s="22">
        <v>45660.467361111114</v>
      </c>
      <c r="I23" s="19" t="s">
        <v>21</v>
      </c>
      <c r="J23" s="19" t="s">
        <v>21</v>
      </c>
    </row>
    <row r="24" spans="1:10" x14ac:dyDescent="0.25">
      <c r="A24" s="19">
        <v>23</v>
      </c>
      <c r="B24" s="19">
        <v>0.54</v>
      </c>
      <c r="C24" s="19">
        <v>2.4</v>
      </c>
      <c r="D24" s="19" t="s">
        <v>18</v>
      </c>
      <c r="E24" s="19">
        <v>0.57999999999999996</v>
      </c>
      <c r="F24" s="19" t="s">
        <v>23</v>
      </c>
      <c r="G24" s="19" t="s">
        <v>20</v>
      </c>
      <c r="H24" s="22">
        <v>45659.404861111114</v>
      </c>
      <c r="I24" s="19" t="s">
        <v>13</v>
      </c>
      <c r="J24" s="19" t="s">
        <v>25</v>
      </c>
    </row>
    <row r="25" spans="1:10" x14ac:dyDescent="0.25">
      <c r="A25" s="19">
        <v>24</v>
      </c>
      <c r="B25" s="19">
        <v>5.15</v>
      </c>
      <c r="C25" s="19">
        <v>33.700000000000003</v>
      </c>
      <c r="D25" s="19" t="s">
        <v>18</v>
      </c>
      <c r="E25" s="19">
        <v>7.3</v>
      </c>
      <c r="F25" s="19" t="s">
        <v>11</v>
      </c>
      <c r="G25" s="19" t="s">
        <v>24</v>
      </c>
      <c r="H25" s="22">
        <v>45661.790277777778</v>
      </c>
      <c r="I25" s="19" t="s">
        <v>13</v>
      </c>
      <c r="J25" s="19" t="s">
        <v>17</v>
      </c>
    </row>
    <row r="26" spans="1:10" x14ac:dyDescent="0.25">
      <c r="A26" s="19">
        <v>25</v>
      </c>
      <c r="B26" s="19">
        <v>0.53</v>
      </c>
      <c r="C26" s="19">
        <v>2.9</v>
      </c>
      <c r="D26" s="19" t="s">
        <v>22</v>
      </c>
      <c r="E26" s="19">
        <v>0.62</v>
      </c>
      <c r="F26" s="19" t="s">
        <v>19</v>
      </c>
      <c r="G26" s="19" t="s">
        <v>16</v>
      </c>
      <c r="H26" s="22">
        <v>45661.175000000003</v>
      </c>
      <c r="I26" s="19" t="s">
        <v>17</v>
      </c>
      <c r="J26" s="19" t="s">
        <v>21</v>
      </c>
    </row>
    <row r="27" spans="1:10" x14ac:dyDescent="0.25">
      <c r="A27" s="19">
        <v>26</v>
      </c>
      <c r="B27" s="19">
        <v>4.2300000000000004</v>
      </c>
      <c r="C27" s="19">
        <v>26.1</v>
      </c>
      <c r="D27" s="19" t="s">
        <v>18</v>
      </c>
      <c r="E27" s="19">
        <v>4.97</v>
      </c>
      <c r="F27" s="19" t="s">
        <v>15</v>
      </c>
      <c r="G27" s="19" t="s">
        <v>24</v>
      </c>
      <c r="H27" s="22">
        <v>45659.628472222219</v>
      </c>
      <c r="I27" s="19" t="s">
        <v>17</v>
      </c>
      <c r="J27" s="19" t="s">
        <v>21</v>
      </c>
    </row>
    <row r="28" spans="1:10" x14ac:dyDescent="0.25">
      <c r="A28" s="19">
        <v>27</v>
      </c>
      <c r="B28" s="19">
        <v>8.5299999999999994</v>
      </c>
      <c r="C28" s="19">
        <v>44.4</v>
      </c>
      <c r="D28" s="19" t="s">
        <v>10</v>
      </c>
      <c r="E28" s="19">
        <v>9.26</v>
      </c>
      <c r="F28" s="19" t="s">
        <v>11</v>
      </c>
      <c r="G28" s="19" t="s">
        <v>16</v>
      </c>
      <c r="H28" s="22">
        <v>45659.344444444447</v>
      </c>
      <c r="I28" s="19" t="s">
        <v>21</v>
      </c>
      <c r="J28" s="19" t="s">
        <v>25</v>
      </c>
    </row>
    <row r="29" spans="1:10" x14ac:dyDescent="0.25">
      <c r="A29" s="19">
        <v>28</v>
      </c>
      <c r="B29" s="19">
        <v>3.65</v>
      </c>
      <c r="C29" s="19">
        <v>21.2</v>
      </c>
      <c r="D29" s="19" t="s">
        <v>22</v>
      </c>
      <c r="E29" s="19">
        <v>5.2</v>
      </c>
      <c r="F29" s="19" t="s">
        <v>11</v>
      </c>
      <c r="G29" s="19" t="s">
        <v>24</v>
      </c>
      <c r="H29" s="22">
        <v>45658.759722222225</v>
      </c>
      <c r="I29" s="19" t="s">
        <v>13</v>
      </c>
      <c r="J29" s="19" t="s">
        <v>17</v>
      </c>
    </row>
    <row r="30" spans="1:10" x14ac:dyDescent="0.25">
      <c r="A30" s="19">
        <v>29</v>
      </c>
      <c r="B30" s="19">
        <v>5.59</v>
      </c>
      <c r="C30" s="19">
        <v>38</v>
      </c>
      <c r="D30" s="19" t="s">
        <v>18</v>
      </c>
      <c r="E30" s="19">
        <v>7.34</v>
      </c>
      <c r="F30" s="19" t="s">
        <v>19</v>
      </c>
      <c r="G30" s="19" t="s">
        <v>12</v>
      </c>
      <c r="H30" s="22">
        <v>45661.004861111112</v>
      </c>
      <c r="I30" s="19" t="s">
        <v>13</v>
      </c>
      <c r="J30" s="19" t="s">
        <v>21</v>
      </c>
    </row>
    <row r="31" spans="1:10" x14ac:dyDescent="0.25">
      <c r="A31" s="19">
        <v>30</v>
      </c>
      <c r="B31" s="19">
        <v>2.65</v>
      </c>
      <c r="C31" s="19">
        <v>19.3</v>
      </c>
      <c r="D31" s="19" t="s">
        <v>18</v>
      </c>
      <c r="E31" s="19">
        <v>2.97</v>
      </c>
      <c r="F31" s="19" t="s">
        <v>15</v>
      </c>
      <c r="G31" s="19" t="s">
        <v>20</v>
      </c>
      <c r="H31" s="22">
        <v>45661.359722222223</v>
      </c>
      <c r="I31" s="19" t="s">
        <v>17</v>
      </c>
      <c r="J31" s="19" t="s">
        <v>25</v>
      </c>
    </row>
    <row r="32" spans="1:10" x14ac:dyDescent="0.25">
      <c r="A32" s="19">
        <v>31</v>
      </c>
      <c r="B32" s="19">
        <v>6.37</v>
      </c>
      <c r="C32" s="19">
        <v>28.9</v>
      </c>
      <c r="D32" s="19" t="s">
        <v>10</v>
      </c>
      <c r="E32" s="19">
        <v>7.17</v>
      </c>
      <c r="F32" s="19" t="s">
        <v>19</v>
      </c>
      <c r="G32" s="19" t="s">
        <v>20</v>
      </c>
      <c r="H32" s="22">
        <v>45661.077777777777</v>
      </c>
      <c r="I32" s="19" t="s">
        <v>13</v>
      </c>
      <c r="J32" s="19" t="s">
        <v>25</v>
      </c>
    </row>
    <row r="33" spans="1:10" x14ac:dyDescent="0.25">
      <c r="A33" s="19">
        <v>32</v>
      </c>
      <c r="B33" s="19">
        <v>3.14</v>
      </c>
      <c r="C33" s="19">
        <v>18.8</v>
      </c>
      <c r="D33" s="19" t="s">
        <v>10</v>
      </c>
      <c r="E33" s="19">
        <v>4.33</v>
      </c>
      <c r="F33" s="19" t="s">
        <v>23</v>
      </c>
      <c r="G33" s="19" t="s">
        <v>12</v>
      </c>
      <c r="H33" s="22">
        <v>45658.336805555555</v>
      </c>
      <c r="I33" s="19" t="s">
        <v>17</v>
      </c>
      <c r="J33" s="19" t="s">
        <v>13</v>
      </c>
    </row>
    <row r="34" spans="1:10" x14ac:dyDescent="0.25">
      <c r="A34" s="19">
        <v>33</v>
      </c>
      <c r="B34" s="19">
        <v>7.31</v>
      </c>
      <c r="C34" s="19">
        <v>36.299999999999997</v>
      </c>
      <c r="D34" s="19" t="s">
        <v>18</v>
      </c>
      <c r="E34" s="19">
        <v>7.88</v>
      </c>
      <c r="F34" s="19" t="s">
        <v>19</v>
      </c>
      <c r="G34" s="19" t="s">
        <v>24</v>
      </c>
      <c r="H34" s="22">
        <v>45660.220138888886</v>
      </c>
      <c r="I34" s="19" t="s">
        <v>21</v>
      </c>
      <c r="J34" s="19" t="s">
        <v>14</v>
      </c>
    </row>
    <row r="35" spans="1:10" x14ac:dyDescent="0.25">
      <c r="A35" s="19">
        <v>34</v>
      </c>
      <c r="B35" s="19">
        <v>11.99</v>
      </c>
      <c r="C35" s="19">
        <v>58.2</v>
      </c>
      <c r="D35" s="19" t="s">
        <v>18</v>
      </c>
      <c r="E35" s="19">
        <v>13.31</v>
      </c>
      <c r="F35" s="19" t="s">
        <v>11</v>
      </c>
      <c r="G35" s="19" t="s">
        <v>16</v>
      </c>
      <c r="H35" s="22">
        <v>45659.736111111109</v>
      </c>
      <c r="I35" s="19" t="s">
        <v>17</v>
      </c>
      <c r="J35" s="19" t="s">
        <v>13</v>
      </c>
    </row>
    <row r="36" spans="1:10" x14ac:dyDescent="0.25">
      <c r="A36" s="19">
        <v>35</v>
      </c>
      <c r="B36" s="19">
        <v>2.65</v>
      </c>
      <c r="C36" s="19">
        <v>19.5</v>
      </c>
      <c r="D36" s="19" t="s">
        <v>22</v>
      </c>
      <c r="E36" s="19">
        <v>2.96</v>
      </c>
      <c r="F36" s="19" t="s">
        <v>15</v>
      </c>
      <c r="G36" s="19" t="s">
        <v>12</v>
      </c>
      <c r="H36" s="22">
        <v>45661.317361111112</v>
      </c>
      <c r="I36" s="19" t="s">
        <v>14</v>
      </c>
      <c r="J36" s="19" t="s">
        <v>21</v>
      </c>
    </row>
    <row r="37" spans="1:10" x14ac:dyDescent="0.25">
      <c r="A37" s="19">
        <v>36</v>
      </c>
      <c r="B37" s="19">
        <v>3.25</v>
      </c>
      <c r="C37" s="19">
        <v>21.3</v>
      </c>
      <c r="D37" s="19" t="s">
        <v>10</v>
      </c>
      <c r="E37" s="19">
        <v>3.81</v>
      </c>
      <c r="F37" s="19" t="s">
        <v>19</v>
      </c>
      <c r="G37" s="19" t="s">
        <v>16</v>
      </c>
      <c r="H37" s="22">
        <v>45659.175000000003</v>
      </c>
      <c r="I37" s="19" t="s">
        <v>14</v>
      </c>
      <c r="J37" s="19" t="s">
        <v>14</v>
      </c>
    </row>
    <row r="38" spans="1:10" x14ac:dyDescent="0.25">
      <c r="A38" s="19">
        <v>37</v>
      </c>
      <c r="B38" s="19">
        <v>2.97</v>
      </c>
      <c r="C38" s="19">
        <v>23.1</v>
      </c>
      <c r="D38" s="19" t="s">
        <v>10</v>
      </c>
      <c r="E38" s="19">
        <v>3.43</v>
      </c>
      <c r="F38" s="19" t="s">
        <v>23</v>
      </c>
      <c r="G38" s="19" t="s">
        <v>12</v>
      </c>
      <c r="H38" s="22">
        <v>45660.532638888886</v>
      </c>
      <c r="I38" s="19" t="s">
        <v>17</v>
      </c>
      <c r="J38" s="19" t="s">
        <v>21</v>
      </c>
    </row>
    <row r="39" spans="1:10" x14ac:dyDescent="0.25">
      <c r="A39" s="19">
        <v>38</v>
      </c>
      <c r="B39" s="19">
        <v>4.47</v>
      </c>
      <c r="C39" s="19">
        <v>25.8</v>
      </c>
      <c r="D39" s="19" t="s">
        <v>10</v>
      </c>
      <c r="E39" s="19">
        <v>5.16</v>
      </c>
      <c r="F39" s="19" t="s">
        <v>19</v>
      </c>
      <c r="G39" s="19" t="s">
        <v>16</v>
      </c>
      <c r="H39" s="22">
        <v>45659.088194444441</v>
      </c>
      <c r="I39" s="19" t="s">
        <v>14</v>
      </c>
      <c r="J39" s="19" t="s">
        <v>25</v>
      </c>
    </row>
    <row r="40" spans="1:10" x14ac:dyDescent="0.25">
      <c r="A40" s="19">
        <v>39</v>
      </c>
      <c r="B40" s="19">
        <v>3.24</v>
      </c>
      <c r="C40" s="19">
        <v>26</v>
      </c>
      <c r="D40" s="19" t="s">
        <v>22</v>
      </c>
      <c r="E40" s="19">
        <v>4.16</v>
      </c>
      <c r="F40" s="19" t="s">
        <v>19</v>
      </c>
      <c r="G40" s="19" t="s">
        <v>12</v>
      </c>
      <c r="H40" s="22">
        <v>45660.657638888886</v>
      </c>
      <c r="I40" s="19" t="s">
        <v>17</v>
      </c>
      <c r="J40" s="19" t="s">
        <v>21</v>
      </c>
    </row>
    <row r="41" spans="1:10" x14ac:dyDescent="0.25">
      <c r="A41" s="19">
        <v>40</v>
      </c>
      <c r="B41" s="19">
        <v>6.75</v>
      </c>
      <c r="C41" s="19">
        <v>49.5</v>
      </c>
      <c r="D41" s="19" t="s">
        <v>22</v>
      </c>
      <c r="E41" s="19">
        <v>7.19</v>
      </c>
      <c r="F41" s="19" t="s">
        <v>23</v>
      </c>
      <c r="G41" s="19" t="s">
        <v>20</v>
      </c>
      <c r="H41" s="22">
        <v>45660.154166666667</v>
      </c>
      <c r="I41" s="19" t="s">
        <v>21</v>
      </c>
      <c r="J41" s="19" t="s">
        <v>13</v>
      </c>
    </row>
    <row r="42" spans="1:10" x14ac:dyDescent="0.25">
      <c r="A42" s="19">
        <v>41</v>
      </c>
      <c r="B42" s="19">
        <v>9.7200000000000006</v>
      </c>
      <c r="C42" s="19">
        <v>44.8</v>
      </c>
      <c r="D42" s="19" t="s">
        <v>18</v>
      </c>
      <c r="E42" s="19">
        <v>10.210000000000001</v>
      </c>
      <c r="F42" s="19" t="s">
        <v>11</v>
      </c>
      <c r="G42" s="19" t="s">
        <v>16</v>
      </c>
      <c r="H42" s="22">
        <v>45661.371527777781</v>
      </c>
      <c r="I42" s="19" t="s">
        <v>13</v>
      </c>
      <c r="J42" s="19" t="s">
        <v>21</v>
      </c>
    </row>
    <row r="43" spans="1:10" x14ac:dyDescent="0.25">
      <c r="A43" s="19">
        <v>42</v>
      </c>
      <c r="B43" s="19">
        <v>7.62</v>
      </c>
      <c r="C43" s="19">
        <v>59.5</v>
      </c>
      <c r="D43" s="19" t="s">
        <v>18</v>
      </c>
      <c r="E43" s="19">
        <v>10.27</v>
      </c>
      <c r="F43" s="19" t="s">
        <v>23</v>
      </c>
      <c r="G43" s="19" t="s">
        <v>16</v>
      </c>
      <c r="H43" s="22">
        <v>45661.457638888889</v>
      </c>
      <c r="I43" s="19" t="s">
        <v>17</v>
      </c>
      <c r="J43" s="19" t="s">
        <v>14</v>
      </c>
    </row>
    <row r="44" spans="1:10" x14ac:dyDescent="0.25">
      <c r="A44" s="19">
        <v>43</v>
      </c>
      <c r="B44" s="19">
        <v>2.16</v>
      </c>
      <c r="C44" s="19">
        <v>10</v>
      </c>
      <c r="D44" s="19" t="s">
        <v>10</v>
      </c>
      <c r="E44" s="19">
        <v>2.2599999999999998</v>
      </c>
      <c r="F44" s="19" t="s">
        <v>23</v>
      </c>
      <c r="G44" s="19" t="s">
        <v>20</v>
      </c>
      <c r="H44" s="22">
        <v>45661.532638888886</v>
      </c>
      <c r="I44" s="19" t="s">
        <v>25</v>
      </c>
      <c r="J44" s="19" t="s">
        <v>25</v>
      </c>
    </row>
    <row r="45" spans="1:10" x14ac:dyDescent="0.25">
      <c r="A45" s="19">
        <v>44</v>
      </c>
      <c r="B45" s="19">
        <v>10.77</v>
      </c>
      <c r="C45" s="19">
        <v>87.3</v>
      </c>
      <c r="D45" s="19" t="s">
        <v>10</v>
      </c>
      <c r="E45" s="19">
        <v>13.53</v>
      </c>
      <c r="F45" s="19" t="s">
        <v>15</v>
      </c>
      <c r="G45" s="19" t="s">
        <v>24</v>
      </c>
      <c r="H45" s="22">
        <v>45661.401388888888</v>
      </c>
      <c r="I45" s="19" t="s">
        <v>17</v>
      </c>
      <c r="J45" s="19" t="s">
        <v>25</v>
      </c>
    </row>
    <row r="46" spans="1:10" x14ac:dyDescent="0.25">
      <c r="A46" s="19">
        <v>45</v>
      </c>
      <c r="B46" s="19">
        <v>5.26</v>
      </c>
      <c r="C46" s="19">
        <v>39.299999999999997</v>
      </c>
      <c r="D46" s="19" t="s">
        <v>18</v>
      </c>
      <c r="E46" s="19">
        <v>6.47</v>
      </c>
      <c r="F46" s="19" t="s">
        <v>19</v>
      </c>
      <c r="G46" s="19" t="s">
        <v>24</v>
      </c>
      <c r="H46" s="22">
        <v>45659.206250000003</v>
      </c>
      <c r="I46" s="19" t="s">
        <v>14</v>
      </c>
      <c r="J46" s="19" t="s">
        <v>17</v>
      </c>
    </row>
    <row r="47" spans="1:10" x14ac:dyDescent="0.25">
      <c r="A47" s="19">
        <v>46</v>
      </c>
      <c r="B47" s="19">
        <v>4.24</v>
      </c>
      <c r="C47" s="19">
        <v>30</v>
      </c>
      <c r="D47" s="19" t="s">
        <v>10</v>
      </c>
      <c r="E47" s="19">
        <v>4.33</v>
      </c>
      <c r="F47" s="19" t="s">
        <v>15</v>
      </c>
      <c r="G47" s="19" t="s">
        <v>20</v>
      </c>
      <c r="H47" s="22">
        <v>45660.149305555555</v>
      </c>
      <c r="I47" s="19" t="s">
        <v>13</v>
      </c>
      <c r="J47" s="19" t="s">
        <v>14</v>
      </c>
    </row>
    <row r="48" spans="1:10" x14ac:dyDescent="0.25">
      <c r="A48" s="19">
        <v>47</v>
      </c>
      <c r="B48" s="19">
        <v>9.56</v>
      </c>
      <c r="C48" s="19">
        <v>60.9</v>
      </c>
      <c r="D48" s="19" t="s">
        <v>22</v>
      </c>
      <c r="E48" s="19">
        <v>12.64</v>
      </c>
      <c r="F48" s="19" t="s">
        <v>23</v>
      </c>
      <c r="G48" s="19" t="s">
        <v>20</v>
      </c>
      <c r="H48" s="22">
        <v>45660.450694444444</v>
      </c>
      <c r="I48" s="19" t="s">
        <v>21</v>
      </c>
      <c r="J48" s="19" t="s">
        <v>21</v>
      </c>
    </row>
    <row r="49" spans="1:10" x14ac:dyDescent="0.25">
      <c r="A49" s="19">
        <v>48</v>
      </c>
      <c r="B49" s="19">
        <v>2.44</v>
      </c>
      <c r="C49" s="19">
        <v>15.1</v>
      </c>
      <c r="D49" s="19" t="s">
        <v>10</v>
      </c>
      <c r="E49" s="19">
        <v>2.92</v>
      </c>
      <c r="F49" s="19" t="s">
        <v>11</v>
      </c>
      <c r="G49" s="19" t="s">
        <v>24</v>
      </c>
      <c r="H49" s="22">
        <v>45660.628472222219</v>
      </c>
      <c r="I49" s="19" t="s">
        <v>13</v>
      </c>
      <c r="J49" s="19" t="s">
        <v>21</v>
      </c>
    </row>
    <row r="50" spans="1:10" x14ac:dyDescent="0.25">
      <c r="A50" s="19">
        <v>49</v>
      </c>
      <c r="B50" s="19">
        <v>4.4000000000000004</v>
      </c>
      <c r="C50" s="19">
        <v>23.9</v>
      </c>
      <c r="D50" s="19" t="s">
        <v>10</v>
      </c>
      <c r="E50" s="19">
        <v>4.82</v>
      </c>
      <c r="F50" s="19" t="s">
        <v>23</v>
      </c>
      <c r="G50" s="19" t="s">
        <v>16</v>
      </c>
      <c r="H50" s="22">
        <v>45659.138194444444</v>
      </c>
      <c r="I50" s="19" t="s">
        <v>21</v>
      </c>
      <c r="J50" s="19" t="s">
        <v>21</v>
      </c>
    </row>
    <row r="51" spans="1:10" x14ac:dyDescent="0.25">
      <c r="A51" s="19">
        <v>50</v>
      </c>
      <c r="B51" s="19">
        <v>3.21</v>
      </c>
      <c r="C51" s="19">
        <v>20.100000000000001</v>
      </c>
      <c r="D51" s="19" t="s">
        <v>22</v>
      </c>
      <c r="E51" s="19">
        <v>4.57</v>
      </c>
      <c r="F51" s="19" t="s">
        <v>19</v>
      </c>
      <c r="G51" s="19" t="s">
        <v>20</v>
      </c>
      <c r="H51" s="22">
        <v>45659.836111111108</v>
      </c>
      <c r="I51" s="19" t="s">
        <v>25</v>
      </c>
      <c r="J51" s="19" t="s">
        <v>25</v>
      </c>
    </row>
    <row r="52" spans="1:10" x14ac:dyDescent="0.25">
      <c r="A52" s="19">
        <v>51</v>
      </c>
      <c r="B52" s="19">
        <v>10.24</v>
      </c>
      <c r="C52" s="19">
        <v>65.099999999999994</v>
      </c>
      <c r="D52" s="19" t="s">
        <v>10</v>
      </c>
      <c r="E52" s="19">
        <v>12.4</v>
      </c>
      <c r="F52" s="19" t="s">
        <v>19</v>
      </c>
      <c r="G52" s="19" t="s">
        <v>12</v>
      </c>
      <c r="H52" s="22">
        <v>45660.298611111109</v>
      </c>
      <c r="I52" s="19" t="s">
        <v>25</v>
      </c>
      <c r="J52" s="19" t="s">
        <v>14</v>
      </c>
    </row>
    <row r="53" spans="1:10" x14ac:dyDescent="0.25">
      <c r="A53" s="19">
        <v>52</v>
      </c>
      <c r="B53" s="19">
        <v>2.63</v>
      </c>
      <c r="C53" s="19">
        <v>19.7</v>
      </c>
      <c r="D53" s="19" t="s">
        <v>22</v>
      </c>
      <c r="E53" s="19">
        <v>2.98</v>
      </c>
      <c r="F53" s="19" t="s">
        <v>23</v>
      </c>
      <c r="G53" s="19" t="s">
        <v>16</v>
      </c>
      <c r="H53" s="22">
        <v>45660.461805555555</v>
      </c>
      <c r="I53" s="19" t="s">
        <v>21</v>
      </c>
      <c r="J53" s="19" t="s">
        <v>13</v>
      </c>
    </row>
    <row r="54" spans="1:10" x14ac:dyDescent="0.25">
      <c r="A54" s="19">
        <v>53</v>
      </c>
      <c r="B54" s="19">
        <v>11.55</v>
      </c>
      <c r="C54" s="19">
        <v>78.099999999999994</v>
      </c>
      <c r="D54" s="19" t="s">
        <v>22</v>
      </c>
      <c r="E54" s="19">
        <v>14.7</v>
      </c>
      <c r="F54" s="19" t="s">
        <v>19</v>
      </c>
      <c r="G54" s="19" t="s">
        <v>20</v>
      </c>
      <c r="H54" s="22">
        <v>45659.341666666667</v>
      </c>
      <c r="I54" s="19" t="s">
        <v>25</v>
      </c>
      <c r="J54" s="19" t="s">
        <v>25</v>
      </c>
    </row>
    <row r="55" spans="1:10" x14ac:dyDescent="0.25">
      <c r="A55" s="19">
        <v>54</v>
      </c>
      <c r="B55" s="19">
        <v>1.36</v>
      </c>
      <c r="C55" s="19">
        <v>11.7</v>
      </c>
      <c r="D55" s="19" t="s">
        <v>22</v>
      </c>
      <c r="E55" s="19">
        <v>1.82</v>
      </c>
      <c r="F55" s="19" t="s">
        <v>19</v>
      </c>
      <c r="G55" s="19" t="s">
        <v>20</v>
      </c>
      <c r="H55" s="22">
        <v>45661.714583333334</v>
      </c>
      <c r="I55" s="19" t="s">
        <v>14</v>
      </c>
      <c r="J55" s="19" t="s">
        <v>17</v>
      </c>
    </row>
    <row r="56" spans="1:10" x14ac:dyDescent="0.25">
      <c r="A56" s="19">
        <v>55</v>
      </c>
      <c r="B56" s="19">
        <v>1.74</v>
      </c>
      <c r="C56" s="19">
        <v>12.5</v>
      </c>
      <c r="D56" s="19" t="s">
        <v>22</v>
      </c>
      <c r="E56" s="19">
        <v>2.59</v>
      </c>
      <c r="F56" s="19" t="s">
        <v>23</v>
      </c>
      <c r="G56" s="19" t="s">
        <v>20</v>
      </c>
      <c r="H56" s="22">
        <v>45661.650694444441</v>
      </c>
      <c r="I56" s="19" t="s">
        <v>21</v>
      </c>
      <c r="J56" s="19" t="s">
        <v>13</v>
      </c>
    </row>
    <row r="57" spans="1:10" x14ac:dyDescent="0.25">
      <c r="A57" s="19">
        <v>56</v>
      </c>
      <c r="B57" s="19">
        <v>1.1200000000000001</v>
      </c>
      <c r="C57" s="19">
        <v>7.3</v>
      </c>
      <c r="D57" s="19" t="s">
        <v>22</v>
      </c>
      <c r="E57" s="19">
        <v>1.44</v>
      </c>
      <c r="F57" s="19" t="s">
        <v>15</v>
      </c>
      <c r="G57" s="19" t="s">
        <v>20</v>
      </c>
      <c r="H57" s="22">
        <v>45659.759722222225</v>
      </c>
      <c r="I57" s="19" t="s">
        <v>14</v>
      </c>
      <c r="J57" s="19" t="s">
        <v>17</v>
      </c>
    </row>
    <row r="58" spans="1:10" x14ac:dyDescent="0.25">
      <c r="A58" s="19">
        <v>57</v>
      </c>
      <c r="B58" s="19">
        <v>8.89</v>
      </c>
      <c r="C58" s="19">
        <v>61.8</v>
      </c>
      <c r="D58" s="19" t="s">
        <v>18</v>
      </c>
      <c r="E58" s="19">
        <v>8.98</v>
      </c>
      <c r="F58" s="19" t="s">
        <v>19</v>
      </c>
      <c r="G58" s="19" t="s">
        <v>24</v>
      </c>
      <c r="H58" s="22">
        <v>45661.15902777778</v>
      </c>
      <c r="I58" s="19" t="s">
        <v>21</v>
      </c>
      <c r="J58" s="19" t="s">
        <v>13</v>
      </c>
    </row>
    <row r="59" spans="1:10" x14ac:dyDescent="0.25">
      <c r="A59" s="19">
        <v>58</v>
      </c>
      <c r="B59" s="19">
        <v>9.08</v>
      </c>
      <c r="C59" s="19">
        <v>58.1</v>
      </c>
      <c r="D59" s="19" t="s">
        <v>10</v>
      </c>
      <c r="E59" s="19">
        <v>13.32</v>
      </c>
      <c r="F59" s="19" t="s">
        <v>15</v>
      </c>
      <c r="G59" s="19" t="s">
        <v>16</v>
      </c>
      <c r="H59" s="22">
        <v>45659.40902777778</v>
      </c>
      <c r="I59" s="19" t="s">
        <v>21</v>
      </c>
      <c r="J59" s="19" t="s">
        <v>13</v>
      </c>
    </row>
    <row r="60" spans="1:10" x14ac:dyDescent="0.25">
      <c r="A60" s="19">
        <v>59</v>
      </c>
      <c r="B60" s="19">
        <v>11.61</v>
      </c>
      <c r="C60" s="19">
        <v>71.599999999999994</v>
      </c>
      <c r="D60" s="19" t="s">
        <v>22</v>
      </c>
      <c r="E60" s="19">
        <v>12.17</v>
      </c>
      <c r="F60" s="19" t="s">
        <v>23</v>
      </c>
      <c r="G60" s="19" t="s">
        <v>16</v>
      </c>
      <c r="H60" s="22">
        <v>45658.620833333334</v>
      </c>
      <c r="I60" s="19" t="s">
        <v>17</v>
      </c>
      <c r="J60" s="19" t="s">
        <v>21</v>
      </c>
    </row>
    <row r="61" spans="1:10" x14ac:dyDescent="0.25">
      <c r="A61" s="19">
        <v>60</v>
      </c>
      <c r="B61" s="19">
        <v>1.62</v>
      </c>
      <c r="C61" s="19">
        <v>8.3000000000000007</v>
      </c>
      <c r="D61" s="19" t="s">
        <v>18</v>
      </c>
      <c r="E61" s="19">
        <v>2.06</v>
      </c>
      <c r="F61" s="19" t="s">
        <v>19</v>
      </c>
      <c r="G61" s="19" t="s">
        <v>24</v>
      </c>
      <c r="H61" s="22">
        <v>45659.680555555555</v>
      </c>
      <c r="I61" s="19" t="s">
        <v>17</v>
      </c>
      <c r="J61" s="19" t="s">
        <v>14</v>
      </c>
    </row>
    <row r="62" spans="1:10" x14ac:dyDescent="0.25">
      <c r="A62" s="19">
        <v>61</v>
      </c>
      <c r="B62" s="19">
        <v>10.63</v>
      </c>
      <c r="C62" s="19">
        <v>68.900000000000006</v>
      </c>
      <c r="D62" s="19" t="s">
        <v>22</v>
      </c>
      <c r="E62" s="19">
        <v>13.85</v>
      </c>
      <c r="F62" s="19" t="s">
        <v>11</v>
      </c>
      <c r="G62" s="19" t="s">
        <v>16</v>
      </c>
      <c r="H62" s="22">
        <v>45658.678472222222</v>
      </c>
      <c r="I62" s="19" t="s">
        <v>21</v>
      </c>
      <c r="J62" s="19" t="s">
        <v>21</v>
      </c>
    </row>
    <row r="63" spans="1:10" x14ac:dyDescent="0.25">
      <c r="A63" s="19">
        <v>62</v>
      </c>
      <c r="B63" s="19">
        <v>10.54</v>
      </c>
      <c r="C63" s="19">
        <v>80</v>
      </c>
      <c r="D63" s="19" t="s">
        <v>10</v>
      </c>
      <c r="E63" s="19">
        <v>12.64</v>
      </c>
      <c r="F63" s="19" t="s">
        <v>11</v>
      </c>
      <c r="G63" s="19" t="s">
        <v>24</v>
      </c>
      <c r="H63" s="22">
        <v>45660.283333333333</v>
      </c>
      <c r="I63" s="19" t="s">
        <v>14</v>
      </c>
      <c r="J63" s="19" t="s">
        <v>13</v>
      </c>
    </row>
    <row r="64" spans="1:10" x14ac:dyDescent="0.25">
      <c r="A64" s="19">
        <v>63</v>
      </c>
      <c r="B64" s="19">
        <v>9.33</v>
      </c>
      <c r="C64" s="19">
        <v>74.8</v>
      </c>
      <c r="D64" s="19" t="s">
        <v>18</v>
      </c>
      <c r="E64" s="19">
        <v>11.26</v>
      </c>
      <c r="F64" s="19" t="s">
        <v>23</v>
      </c>
      <c r="G64" s="19" t="s">
        <v>12</v>
      </c>
      <c r="H64" s="22">
        <v>45659.934027777781</v>
      </c>
      <c r="I64" s="19" t="s">
        <v>25</v>
      </c>
      <c r="J64" s="19" t="s">
        <v>25</v>
      </c>
    </row>
    <row r="65" spans="1:10" x14ac:dyDescent="0.25">
      <c r="A65" s="19">
        <v>64</v>
      </c>
      <c r="B65" s="19">
        <v>5.41</v>
      </c>
      <c r="C65" s="19">
        <v>28.6</v>
      </c>
      <c r="D65" s="19" t="s">
        <v>22</v>
      </c>
      <c r="E65" s="19">
        <v>5.43</v>
      </c>
      <c r="F65" s="19" t="s">
        <v>11</v>
      </c>
      <c r="G65" s="19" t="s">
        <v>20</v>
      </c>
      <c r="H65" s="22">
        <v>45659.271527777775</v>
      </c>
      <c r="I65" s="19" t="s">
        <v>14</v>
      </c>
      <c r="J65" s="19" t="s">
        <v>14</v>
      </c>
    </row>
    <row r="66" spans="1:10" x14ac:dyDescent="0.25">
      <c r="A66" s="19">
        <v>65</v>
      </c>
      <c r="B66" s="19">
        <v>10.78</v>
      </c>
      <c r="C66" s="19">
        <v>97.1</v>
      </c>
      <c r="D66" s="19" t="s">
        <v>22</v>
      </c>
      <c r="E66" s="19">
        <v>14.1</v>
      </c>
      <c r="F66" s="19" t="s">
        <v>15</v>
      </c>
      <c r="G66" s="19" t="s">
        <v>24</v>
      </c>
      <c r="H66" s="22">
        <v>45660.70416666667</v>
      </c>
      <c r="I66" s="19" t="s">
        <v>17</v>
      </c>
      <c r="J66" s="19" t="s">
        <v>14</v>
      </c>
    </row>
    <row r="67" spans="1:10" x14ac:dyDescent="0.25">
      <c r="A67" s="19">
        <v>66</v>
      </c>
      <c r="B67" s="19">
        <v>9.0500000000000007</v>
      </c>
      <c r="C67" s="19">
        <v>76.900000000000006</v>
      </c>
      <c r="D67" s="19" t="s">
        <v>18</v>
      </c>
      <c r="E67" s="19">
        <v>11.45</v>
      </c>
      <c r="F67" s="19" t="s">
        <v>11</v>
      </c>
      <c r="G67" s="19" t="s">
        <v>16</v>
      </c>
      <c r="H67" s="22">
        <v>45660.071527777778</v>
      </c>
      <c r="I67" s="19" t="s">
        <v>25</v>
      </c>
      <c r="J67" s="19" t="s">
        <v>25</v>
      </c>
    </row>
    <row r="68" spans="1:10" x14ac:dyDescent="0.25">
      <c r="A68" s="19">
        <v>67</v>
      </c>
      <c r="B68" s="19">
        <v>9.92</v>
      </c>
      <c r="C68" s="19">
        <v>68.5</v>
      </c>
      <c r="D68" s="19" t="s">
        <v>18</v>
      </c>
      <c r="E68" s="19">
        <v>10.130000000000001</v>
      </c>
      <c r="F68" s="19" t="s">
        <v>23</v>
      </c>
      <c r="G68" s="19" t="s">
        <v>16</v>
      </c>
      <c r="H68" s="22">
        <v>45660.120833333334</v>
      </c>
      <c r="I68" s="19" t="s">
        <v>21</v>
      </c>
      <c r="J68" s="19" t="s">
        <v>25</v>
      </c>
    </row>
    <row r="69" spans="1:10" x14ac:dyDescent="0.25">
      <c r="A69" s="19">
        <v>68</v>
      </c>
      <c r="B69" s="19">
        <v>8.0399999999999991</v>
      </c>
      <c r="C69" s="19">
        <v>49.1</v>
      </c>
      <c r="D69" s="19" t="s">
        <v>18</v>
      </c>
      <c r="E69" s="19">
        <v>11.13</v>
      </c>
      <c r="F69" s="19" t="s">
        <v>23</v>
      </c>
      <c r="G69" s="19" t="s">
        <v>24</v>
      </c>
      <c r="H69" s="22">
        <v>45661.343055555553</v>
      </c>
      <c r="I69" s="19" t="s">
        <v>25</v>
      </c>
      <c r="J69" s="19" t="s">
        <v>25</v>
      </c>
    </row>
    <row r="70" spans="1:10" x14ac:dyDescent="0.25">
      <c r="A70" s="19">
        <v>69</v>
      </c>
      <c r="B70" s="19">
        <v>6.4</v>
      </c>
      <c r="C70" s="19">
        <v>43.2</v>
      </c>
      <c r="D70" s="19" t="s">
        <v>18</v>
      </c>
      <c r="E70" s="19">
        <v>9</v>
      </c>
      <c r="F70" s="19" t="s">
        <v>11</v>
      </c>
      <c r="G70" s="19" t="s">
        <v>16</v>
      </c>
      <c r="H70" s="22">
        <v>45660.119444444441</v>
      </c>
      <c r="I70" s="19" t="s">
        <v>21</v>
      </c>
      <c r="J70" s="19" t="s">
        <v>14</v>
      </c>
    </row>
    <row r="71" spans="1:10" x14ac:dyDescent="0.25">
      <c r="A71" s="19">
        <v>70</v>
      </c>
      <c r="B71" s="19">
        <v>2.59</v>
      </c>
      <c r="C71" s="19">
        <v>20.3</v>
      </c>
      <c r="D71" s="19" t="s">
        <v>18</v>
      </c>
      <c r="E71" s="19">
        <v>3.16</v>
      </c>
      <c r="F71" s="19" t="s">
        <v>19</v>
      </c>
      <c r="G71" s="19" t="s">
        <v>24</v>
      </c>
      <c r="H71" s="22">
        <v>45661.745138888888</v>
      </c>
      <c r="I71" s="19" t="s">
        <v>17</v>
      </c>
      <c r="J71" s="19" t="s">
        <v>25</v>
      </c>
    </row>
    <row r="72" spans="1:10" x14ac:dyDescent="0.25">
      <c r="A72" s="19">
        <v>71</v>
      </c>
      <c r="B72" s="19">
        <v>2.63</v>
      </c>
      <c r="C72" s="19">
        <v>14.6</v>
      </c>
      <c r="D72" s="19" t="s">
        <v>18</v>
      </c>
      <c r="E72" s="19">
        <v>3.35</v>
      </c>
      <c r="F72" s="19" t="s">
        <v>11</v>
      </c>
      <c r="G72" s="19" t="s">
        <v>20</v>
      </c>
      <c r="H72" s="22">
        <v>45660.436805555553</v>
      </c>
      <c r="I72" s="19" t="s">
        <v>17</v>
      </c>
      <c r="J72" s="19" t="s">
        <v>14</v>
      </c>
    </row>
    <row r="73" spans="1:10" x14ac:dyDescent="0.25">
      <c r="A73" s="19">
        <v>72</v>
      </c>
      <c r="B73" s="19">
        <v>6.83</v>
      </c>
      <c r="C73" s="19">
        <v>37.6</v>
      </c>
      <c r="D73" s="19" t="s">
        <v>10</v>
      </c>
      <c r="E73" s="19">
        <v>8.36</v>
      </c>
      <c r="F73" s="19" t="s">
        <v>11</v>
      </c>
      <c r="G73" s="19" t="s">
        <v>12</v>
      </c>
      <c r="H73" s="22">
        <v>45659.421527777777</v>
      </c>
      <c r="I73" s="19" t="s">
        <v>17</v>
      </c>
      <c r="J73" s="19" t="s">
        <v>21</v>
      </c>
    </row>
    <row r="74" spans="1:10" x14ac:dyDescent="0.25">
      <c r="A74" s="19">
        <v>73</v>
      </c>
      <c r="B74" s="19">
        <v>10.119999999999999</v>
      </c>
      <c r="C74" s="19">
        <v>64.099999999999994</v>
      </c>
      <c r="D74" s="19" t="s">
        <v>22</v>
      </c>
      <c r="E74" s="19">
        <v>11.5</v>
      </c>
      <c r="F74" s="19" t="s">
        <v>23</v>
      </c>
      <c r="G74" s="19" t="s">
        <v>12</v>
      </c>
      <c r="H74" s="22">
        <v>45660.859027777777</v>
      </c>
      <c r="I74" s="19" t="s">
        <v>17</v>
      </c>
      <c r="J74" s="19" t="s">
        <v>17</v>
      </c>
    </row>
    <row r="75" spans="1:10" x14ac:dyDescent="0.25">
      <c r="A75" s="19">
        <v>74</v>
      </c>
      <c r="B75" s="19">
        <v>5.77</v>
      </c>
      <c r="C75" s="19">
        <v>44.5</v>
      </c>
      <c r="D75" s="19" t="s">
        <v>18</v>
      </c>
      <c r="E75" s="19">
        <v>7.86</v>
      </c>
      <c r="F75" s="19" t="s">
        <v>23</v>
      </c>
      <c r="G75" s="19" t="s">
        <v>20</v>
      </c>
      <c r="H75" s="22">
        <v>45659.227083333331</v>
      </c>
      <c r="I75" s="19" t="s">
        <v>17</v>
      </c>
      <c r="J75" s="19" t="s">
        <v>14</v>
      </c>
    </row>
    <row r="76" spans="1:10" x14ac:dyDescent="0.25">
      <c r="A76" s="19">
        <v>75</v>
      </c>
      <c r="B76" s="19">
        <v>4.16</v>
      </c>
      <c r="C76" s="19">
        <v>25.5</v>
      </c>
      <c r="D76" s="19" t="s">
        <v>22</v>
      </c>
      <c r="E76" s="19">
        <v>5.39</v>
      </c>
      <c r="F76" s="19" t="s">
        <v>15</v>
      </c>
      <c r="G76" s="19" t="s">
        <v>16</v>
      </c>
      <c r="H76" s="22">
        <v>45660.167361111111</v>
      </c>
      <c r="I76" s="19" t="s">
        <v>17</v>
      </c>
      <c r="J76" s="19" t="s">
        <v>17</v>
      </c>
    </row>
    <row r="77" spans="1:10" x14ac:dyDescent="0.25">
      <c r="A77" s="19">
        <v>76</v>
      </c>
      <c r="B77" s="19">
        <v>4.34</v>
      </c>
      <c r="C77" s="19">
        <v>24.1</v>
      </c>
      <c r="D77" s="19" t="s">
        <v>10</v>
      </c>
      <c r="E77" s="19">
        <v>4.4000000000000004</v>
      </c>
      <c r="F77" s="19" t="s">
        <v>23</v>
      </c>
      <c r="G77" s="19" t="s">
        <v>16</v>
      </c>
      <c r="H77" s="22">
        <v>45660.076388888891</v>
      </c>
      <c r="I77" s="19" t="s">
        <v>14</v>
      </c>
      <c r="J77" s="19" t="s">
        <v>17</v>
      </c>
    </row>
    <row r="78" spans="1:10" x14ac:dyDescent="0.25">
      <c r="A78" s="19">
        <v>77</v>
      </c>
      <c r="B78" s="19">
        <v>6.77</v>
      </c>
      <c r="C78" s="19">
        <v>41.8</v>
      </c>
      <c r="D78" s="19" t="s">
        <v>10</v>
      </c>
      <c r="E78" s="19">
        <v>9.32</v>
      </c>
      <c r="F78" s="19" t="s">
        <v>11</v>
      </c>
      <c r="G78" s="19" t="s">
        <v>16</v>
      </c>
      <c r="H78" s="22">
        <v>45660.075694444444</v>
      </c>
      <c r="I78" s="19" t="s">
        <v>17</v>
      </c>
      <c r="J78" s="19" t="s">
        <v>14</v>
      </c>
    </row>
    <row r="79" spans="1:10" x14ac:dyDescent="0.25">
      <c r="A79" s="19">
        <v>78</v>
      </c>
      <c r="B79" s="19">
        <v>3.11</v>
      </c>
      <c r="C79" s="19">
        <v>15.9</v>
      </c>
      <c r="D79" s="19" t="s">
        <v>18</v>
      </c>
      <c r="E79" s="19">
        <v>3.4</v>
      </c>
      <c r="F79" s="19" t="s">
        <v>15</v>
      </c>
      <c r="G79" s="19" t="s">
        <v>12</v>
      </c>
      <c r="H79" s="22">
        <v>45659.527777777781</v>
      </c>
      <c r="I79" s="19" t="s">
        <v>21</v>
      </c>
      <c r="J79" s="19" t="s">
        <v>25</v>
      </c>
    </row>
    <row r="80" spans="1:10" x14ac:dyDescent="0.25">
      <c r="A80" s="19">
        <v>79</v>
      </c>
      <c r="B80" s="19">
        <v>1.77</v>
      </c>
      <c r="C80" s="19">
        <v>7.9</v>
      </c>
      <c r="D80" s="19" t="s">
        <v>18</v>
      </c>
      <c r="E80" s="19">
        <v>1.89</v>
      </c>
      <c r="F80" s="19" t="s">
        <v>23</v>
      </c>
      <c r="G80" s="19" t="s">
        <v>16</v>
      </c>
      <c r="H80" s="22">
        <v>45659.03402777778</v>
      </c>
      <c r="I80" s="19" t="s">
        <v>21</v>
      </c>
      <c r="J80" s="19" t="s">
        <v>14</v>
      </c>
    </row>
    <row r="81" spans="1:10" x14ac:dyDescent="0.25">
      <c r="A81" s="19">
        <v>80</v>
      </c>
      <c r="B81" s="19">
        <v>4.12</v>
      </c>
      <c r="C81" s="19">
        <v>24</v>
      </c>
      <c r="D81" s="19" t="s">
        <v>18</v>
      </c>
      <c r="E81" s="19">
        <v>4.88</v>
      </c>
      <c r="F81" s="19" t="s">
        <v>11</v>
      </c>
      <c r="G81" s="19" t="s">
        <v>16</v>
      </c>
      <c r="H81" s="22">
        <v>45660.191666666666</v>
      </c>
      <c r="I81" s="19" t="s">
        <v>25</v>
      </c>
      <c r="J81" s="19" t="s">
        <v>17</v>
      </c>
    </row>
    <row r="82" spans="1:10" x14ac:dyDescent="0.25">
      <c r="A82" s="19">
        <v>81</v>
      </c>
      <c r="B82" s="19">
        <v>11.77</v>
      </c>
      <c r="C82" s="19">
        <v>82.4</v>
      </c>
      <c r="D82" s="19" t="s">
        <v>10</v>
      </c>
      <c r="E82" s="19">
        <v>12.55</v>
      </c>
      <c r="F82" s="19" t="s">
        <v>15</v>
      </c>
      <c r="G82" s="19" t="s">
        <v>16</v>
      </c>
      <c r="H82" s="22">
        <v>45659.954861111109</v>
      </c>
      <c r="I82" s="19" t="s">
        <v>21</v>
      </c>
      <c r="J82" s="19" t="s">
        <v>25</v>
      </c>
    </row>
    <row r="83" spans="1:10" x14ac:dyDescent="0.25">
      <c r="A83" s="19">
        <v>82</v>
      </c>
      <c r="B83" s="19">
        <v>4.13</v>
      </c>
      <c r="C83" s="19">
        <v>28.6</v>
      </c>
      <c r="D83" s="19" t="s">
        <v>22</v>
      </c>
      <c r="E83" s="19">
        <v>4.42</v>
      </c>
      <c r="F83" s="19" t="s">
        <v>23</v>
      </c>
      <c r="G83" s="19" t="s">
        <v>12</v>
      </c>
      <c r="H83" s="22">
        <v>45658.363888888889</v>
      </c>
      <c r="I83" s="19" t="s">
        <v>21</v>
      </c>
      <c r="J83" s="19" t="s">
        <v>17</v>
      </c>
    </row>
    <row r="84" spans="1:10" x14ac:dyDescent="0.25">
      <c r="A84" s="19">
        <v>83</v>
      </c>
      <c r="B84" s="19">
        <v>8.35</v>
      </c>
      <c r="C84" s="19">
        <v>62.2</v>
      </c>
      <c r="D84" s="19" t="s">
        <v>18</v>
      </c>
      <c r="E84" s="19">
        <v>12.42</v>
      </c>
      <c r="F84" s="19" t="s">
        <v>11</v>
      </c>
      <c r="G84" s="19" t="s">
        <v>24</v>
      </c>
      <c r="H84" s="22">
        <v>45661.229166666664</v>
      </c>
      <c r="I84" s="19" t="s">
        <v>13</v>
      </c>
      <c r="J84" s="19" t="s">
        <v>13</v>
      </c>
    </row>
    <row r="85" spans="1:10" x14ac:dyDescent="0.25">
      <c r="A85" s="19">
        <v>84</v>
      </c>
      <c r="B85" s="19">
        <v>4.68</v>
      </c>
      <c r="C85" s="19">
        <v>19.899999999999999</v>
      </c>
      <c r="D85" s="19" t="s">
        <v>18</v>
      </c>
      <c r="E85" s="19">
        <v>4.87</v>
      </c>
      <c r="F85" s="19" t="s">
        <v>15</v>
      </c>
      <c r="G85" s="19" t="s">
        <v>12</v>
      </c>
      <c r="H85" s="22">
        <v>45659.338888888888</v>
      </c>
      <c r="I85" s="19" t="s">
        <v>17</v>
      </c>
      <c r="J85" s="19" t="s">
        <v>17</v>
      </c>
    </row>
    <row r="86" spans="1:10" x14ac:dyDescent="0.25">
      <c r="A86" s="19">
        <v>85</v>
      </c>
      <c r="B86" s="19">
        <v>4.24</v>
      </c>
      <c r="C86" s="19">
        <v>29.5</v>
      </c>
      <c r="D86" s="19" t="s">
        <v>22</v>
      </c>
      <c r="E86" s="19">
        <v>4.4800000000000004</v>
      </c>
      <c r="F86" s="19" t="s">
        <v>15</v>
      </c>
      <c r="G86" s="19" t="s">
        <v>12</v>
      </c>
      <c r="H86" s="22">
        <v>45659.086111111108</v>
      </c>
      <c r="I86" s="19" t="s">
        <v>21</v>
      </c>
      <c r="J86" s="19" t="s">
        <v>17</v>
      </c>
    </row>
    <row r="87" spans="1:10" x14ac:dyDescent="0.25">
      <c r="A87" s="19">
        <v>86</v>
      </c>
      <c r="B87" s="19">
        <v>2.15</v>
      </c>
      <c r="C87" s="19">
        <v>12.7</v>
      </c>
      <c r="D87" s="19" t="s">
        <v>10</v>
      </c>
      <c r="E87" s="19">
        <v>2.78</v>
      </c>
      <c r="F87" s="19" t="s">
        <v>11</v>
      </c>
      <c r="G87" s="19" t="s">
        <v>20</v>
      </c>
      <c r="H87" s="22">
        <v>45659.294444444444</v>
      </c>
      <c r="I87" s="19" t="s">
        <v>21</v>
      </c>
      <c r="J87" s="19" t="s">
        <v>25</v>
      </c>
    </row>
    <row r="88" spans="1:10" x14ac:dyDescent="0.25">
      <c r="A88" s="19">
        <v>87</v>
      </c>
      <c r="B88" s="19">
        <v>0.71</v>
      </c>
      <c r="C88" s="19">
        <v>5.2</v>
      </c>
      <c r="D88" s="19" t="s">
        <v>10</v>
      </c>
      <c r="E88" s="19">
        <v>0.88</v>
      </c>
      <c r="F88" s="19" t="s">
        <v>23</v>
      </c>
      <c r="G88" s="19" t="s">
        <v>20</v>
      </c>
      <c r="H88" s="22">
        <v>45660.631944444445</v>
      </c>
      <c r="I88" s="19" t="s">
        <v>13</v>
      </c>
      <c r="J88" s="19" t="s">
        <v>21</v>
      </c>
    </row>
    <row r="89" spans="1:10" x14ac:dyDescent="0.25">
      <c r="A89" s="19">
        <v>88</v>
      </c>
      <c r="B89" s="19">
        <v>0.61</v>
      </c>
      <c r="C89" s="19">
        <v>3</v>
      </c>
      <c r="D89" s="19" t="s">
        <v>18</v>
      </c>
      <c r="E89" s="19">
        <v>0.74</v>
      </c>
      <c r="F89" s="19" t="s">
        <v>19</v>
      </c>
      <c r="G89" s="19" t="s">
        <v>12</v>
      </c>
      <c r="H89" s="22">
        <v>45658.859027777777</v>
      </c>
      <c r="I89" s="19" t="s">
        <v>21</v>
      </c>
      <c r="J89" s="19" t="s">
        <v>17</v>
      </c>
    </row>
    <row r="90" spans="1:10" x14ac:dyDescent="0.25">
      <c r="A90" s="19">
        <v>89</v>
      </c>
      <c r="B90" s="19">
        <v>10.32</v>
      </c>
      <c r="C90" s="19">
        <v>63.9</v>
      </c>
      <c r="D90" s="19" t="s">
        <v>10</v>
      </c>
      <c r="E90" s="19">
        <v>10.44</v>
      </c>
      <c r="F90" s="19" t="s">
        <v>15</v>
      </c>
      <c r="G90" s="19" t="s">
        <v>16</v>
      </c>
      <c r="H90" s="22">
        <v>45661.763194444444</v>
      </c>
      <c r="I90" s="19" t="s">
        <v>25</v>
      </c>
      <c r="J90" s="19" t="s">
        <v>14</v>
      </c>
    </row>
    <row r="91" spans="1:10" x14ac:dyDescent="0.25">
      <c r="A91" s="19">
        <v>90</v>
      </c>
      <c r="B91" s="19">
        <v>5.08</v>
      </c>
      <c r="C91" s="19">
        <v>35.700000000000003</v>
      </c>
      <c r="D91" s="19" t="s">
        <v>22</v>
      </c>
      <c r="E91" s="19">
        <v>5.73</v>
      </c>
      <c r="F91" s="19" t="s">
        <v>19</v>
      </c>
      <c r="G91" s="19" t="s">
        <v>24</v>
      </c>
      <c r="H91" s="22">
        <v>45660.119444444441</v>
      </c>
      <c r="I91" s="19" t="s">
        <v>13</v>
      </c>
      <c r="J91" s="19" t="s">
        <v>17</v>
      </c>
    </row>
    <row r="92" spans="1:10" x14ac:dyDescent="0.25">
      <c r="A92" s="19">
        <v>91</v>
      </c>
      <c r="B92" s="19">
        <v>4.4400000000000004</v>
      </c>
      <c r="C92" s="19">
        <v>40.799999999999997</v>
      </c>
      <c r="D92" s="19" t="s">
        <v>22</v>
      </c>
      <c r="E92" s="19">
        <v>6.12</v>
      </c>
      <c r="F92" s="19" t="s">
        <v>19</v>
      </c>
      <c r="G92" s="19" t="s">
        <v>16</v>
      </c>
      <c r="H92" s="22">
        <v>45659.67291666667</v>
      </c>
      <c r="I92" s="19" t="s">
        <v>21</v>
      </c>
      <c r="J92" s="19" t="s">
        <v>21</v>
      </c>
    </row>
    <row r="93" spans="1:10" x14ac:dyDescent="0.25">
      <c r="A93" s="19">
        <v>92</v>
      </c>
      <c r="B93" s="19">
        <v>5.33</v>
      </c>
      <c r="C93" s="19">
        <v>47.4</v>
      </c>
      <c r="D93" s="19" t="s">
        <v>22</v>
      </c>
      <c r="E93" s="19">
        <v>7.54</v>
      </c>
      <c r="F93" s="19" t="s">
        <v>11</v>
      </c>
      <c r="G93" s="19" t="s">
        <v>20</v>
      </c>
      <c r="H93" s="22">
        <v>45658.740277777775</v>
      </c>
      <c r="I93" s="19" t="s">
        <v>13</v>
      </c>
      <c r="J93" s="19" t="s">
        <v>17</v>
      </c>
    </row>
    <row r="94" spans="1:10" x14ac:dyDescent="0.25">
      <c r="A94" s="19">
        <v>93</v>
      </c>
      <c r="B94" s="19">
        <v>10.07</v>
      </c>
      <c r="C94" s="19">
        <v>56.8</v>
      </c>
      <c r="D94" s="19" t="s">
        <v>22</v>
      </c>
      <c r="E94" s="19">
        <v>12.82</v>
      </c>
      <c r="F94" s="19" t="s">
        <v>23</v>
      </c>
      <c r="G94" s="19" t="s">
        <v>24</v>
      </c>
      <c r="H94" s="22">
        <v>45659.09652777778</v>
      </c>
      <c r="I94" s="19" t="s">
        <v>13</v>
      </c>
      <c r="J94" s="19" t="s">
        <v>13</v>
      </c>
    </row>
    <row r="95" spans="1:10" x14ac:dyDescent="0.25">
      <c r="A95" s="19">
        <v>94</v>
      </c>
      <c r="B95" s="19">
        <v>9.58</v>
      </c>
      <c r="C95" s="19">
        <v>73.5</v>
      </c>
      <c r="D95" s="19" t="s">
        <v>22</v>
      </c>
      <c r="E95" s="19">
        <v>13.07</v>
      </c>
      <c r="F95" s="19" t="s">
        <v>19</v>
      </c>
      <c r="G95" s="19" t="s">
        <v>16</v>
      </c>
      <c r="H95" s="22">
        <v>45661.49722222222</v>
      </c>
      <c r="I95" s="19" t="s">
        <v>13</v>
      </c>
      <c r="J95" s="19" t="s">
        <v>14</v>
      </c>
    </row>
    <row r="96" spans="1:10" x14ac:dyDescent="0.25">
      <c r="A96" s="19">
        <v>95</v>
      </c>
      <c r="B96" s="19">
        <v>8.08</v>
      </c>
      <c r="C96" s="19">
        <v>51.1</v>
      </c>
      <c r="D96" s="19" t="s">
        <v>22</v>
      </c>
      <c r="E96" s="19">
        <v>10.96</v>
      </c>
      <c r="F96" s="19" t="s">
        <v>19</v>
      </c>
      <c r="G96" s="19" t="s">
        <v>20</v>
      </c>
      <c r="H96" s="22">
        <v>45659.865972222222</v>
      </c>
      <c r="I96" s="19" t="s">
        <v>17</v>
      </c>
      <c r="J96" s="19" t="s">
        <v>25</v>
      </c>
    </row>
    <row r="97" spans="1:10" x14ac:dyDescent="0.25">
      <c r="A97" s="19">
        <v>96</v>
      </c>
      <c r="B97" s="19">
        <v>6.66</v>
      </c>
      <c r="C97" s="19">
        <v>36.5</v>
      </c>
      <c r="D97" s="19" t="s">
        <v>22</v>
      </c>
      <c r="E97" s="19">
        <v>8.48</v>
      </c>
      <c r="F97" s="19" t="s">
        <v>23</v>
      </c>
      <c r="G97" s="19" t="s">
        <v>12</v>
      </c>
      <c r="H97" s="22">
        <v>45660.473611111112</v>
      </c>
      <c r="I97" s="19" t="s">
        <v>21</v>
      </c>
      <c r="J97" s="19" t="s">
        <v>14</v>
      </c>
    </row>
    <row r="98" spans="1:10" x14ac:dyDescent="0.25">
      <c r="A98" s="19">
        <v>97</v>
      </c>
      <c r="B98" s="19">
        <v>1.47</v>
      </c>
      <c r="C98" s="19">
        <v>9.8000000000000007</v>
      </c>
      <c r="D98" s="19" t="s">
        <v>18</v>
      </c>
      <c r="E98" s="19">
        <v>1.88</v>
      </c>
      <c r="F98" s="19" t="s">
        <v>23</v>
      </c>
      <c r="G98" s="19" t="s">
        <v>24</v>
      </c>
      <c r="H98" s="22">
        <v>45661.168749999997</v>
      </c>
      <c r="I98" s="19" t="s">
        <v>14</v>
      </c>
      <c r="J98" s="19" t="s">
        <v>17</v>
      </c>
    </row>
    <row r="99" spans="1:10" x14ac:dyDescent="0.25">
      <c r="A99" s="19">
        <v>98</v>
      </c>
      <c r="B99" s="19">
        <v>4.41</v>
      </c>
      <c r="C99" s="19">
        <v>24.8</v>
      </c>
      <c r="D99" s="19" t="s">
        <v>22</v>
      </c>
      <c r="E99" s="19">
        <v>4.8</v>
      </c>
      <c r="F99" s="19" t="s">
        <v>23</v>
      </c>
      <c r="G99" s="19" t="s">
        <v>24</v>
      </c>
      <c r="H99" s="22">
        <v>45659.722222222219</v>
      </c>
      <c r="I99" s="19" t="s">
        <v>14</v>
      </c>
      <c r="J99" s="19" t="s">
        <v>14</v>
      </c>
    </row>
    <row r="100" spans="1:10" x14ac:dyDescent="0.25">
      <c r="A100" s="19">
        <v>99</v>
      </c>
      <c r="B100" s="19">
        <v>4.0199999999999996</v>
      </c>
      <c r="C100" s="19">
        <v>21.7</v>
      </c>
      <c r="D100" s="19" t="s">
        <v>18</v>
      </c>
      <c r="E100" s="19">
        <v>5.17</v>
      </c>
      <c r="F100" s="19" t="s">
        <v>11</v>
      </c>
      <c r="G100" s="19" t="s">
        <v>12</v>
      </c>
      <c r="H100" s="22">
        <v>45660.185416666667</v>
      </c>
      <c r="I100" s="19" t="s">
        <v>13</v>
      </c>
      <c r="J100" s="19" t="s">
        <v>13</v>
      </c>
    </row>
    <row r="101" spans="1:10" x14ac:dyDescent="0.25">
      <c r="A101" s="19">
        <v>100</v>
      </c>
      <c r="B101" s="19">
        <v>10.039999999999999</v>
      </c>
      <c r="C101" s="19">
        <v>90.7</v>
      </c>
      <c r="D101" s="19" t="s">
        <v>22</v>
      </c>
      <c r="E101" s="19">
        <v>14.91</v>
      </c>
      <c r="F101" s="19" t="s">
        <v>23</v>
      </c>
      <c r="G101" s="19" t="s">
        <v>24</v>
      </c>
      <c r="H101" s="22">
        <v>45659.499305555553</v>
      </c>
      <c r="I101" s="19" t="s">
        <v>14</v>
      </c>
      <c r="J101" s="19" t="s">
        <v>25</v>
      </c>
    </row>
    <row r="102" spans="1:10" x14ac:dyDescent="0.25">
      <c r="A102" s="19">
        <v>101</v>
      </c>
      <c r="B102" s="19">
        <v>8.25</v>
      </c>
      <c r="C102" s="19">
        <v>52</v>
      </c>
      <c r="D102" s="19" t="s">
        <v>18</v>
      </c>
      <c r="E102" s="19">
        <v>9</v>
      </c>
      <c r="F102" s="19" t="s">
        <v>23</v>
      </c>
      <c r="G102" s="19" t="s">
        <v>24</v>
      </c>
      <c r="H102" s="22">
        <v>45658.973611111112</v>
      </c>
      <c r="I102" s="19" t="s">
        <v>21</v>
      </c>
      <c r="J102" s="19" t="s">
        <v>13</v>
      </c>
    </row>
    <row r="103" spans="1:10" x14ac:dyDescent="0.25">
      <c r="A103" s="19">
        <v>102</v>
      </c>
      <c r="B103" s="19">
        <v>3.22</v>
      </c>
      <c r="C103" s="19">
        <v>19.899999999999999</v>
      </c>
      <c r="D103" s="19" t="s">
        <v>10</v>
      </c>
      <c r="E103" s="19">
        <v>3.28</v>
      </c>
      <c r="F103" s="19" t="s">
        <v>11</v>
      </c>
      <c r="G103" s="19" t="s">
        <v>20</v>
      </c>
      <c r="H103" s="22">
        <v>45661.62222222222</v>
      </c>
      <c r="I103" s="19" t="s">
        <v>17</v>
      </c>
      <c r="J103" s="19" t="s">
        <v>25</v>
      </c>
    </row>
    <row r="104" spans="1:10" x14ac:dyDescent="0.25">
      <c r="A104" s="19">
        <v>103</v>
      </c>
      <c r="B104" s="19">
        <v>9.17</v>
      </c>
      <c r="C104" s="19">
        <v>60.4</v>
      </c>
      <c r="D104" s="19" t="s">
        <v>22</v>
      </c>
      <c r="E104" s="19">
        <v>10.91</v>
      </c>
      <c r="F104" s="19" t="s">
        <v>11</v>
      </c>
      <c r="G104" s="19" t="s">
        <v>16</v>
      </c>
      <c r="H104" s="22">
        <v>45661.532638888886</v>
      </c>
      <c r="I104" s="19" t="s">
        <v>14</v>
      </c>
      <c r="J104" s="19" t="s">
        <v>13</v>
      </c>
    </row>
    <row r="105" spans="1:10" x14ac:dyDescent="0.25">
      <c r="A105" s="19">
        <v>104</v>
      </c>
      <c r="B105" s="19">
        <v>6.86</v>
      </c>
      <c r="C105" s="19">
        <v>53.9</v>
      </c>
      <c r="D105" s="19" t="s">
        <v>22</v>
      </c>
      <c r="E105" s="19">
        <v>8.74</v>
      </c>
      <c r="F105" s="19" t="s">
        <v>15</v>
      </c>
      <c r="G105" s="19" t="s">
        <v>20</v>
      </c>
      <c r="H105" s="22">
        <v>45658.94027777778</v>
      </c>
      <c r="I105" s="19" t="s">
        <v>14</v>
      </c>
      <c r="J105" s="19" t="s">
        <v>21</v>
      </c>
    </row>
    <row r="106" spans="1:10" x14ac:dyDescent="0.25">
      <c r="A106" s="19">
        <v>105</v>
      </c>
      <c r="B106" s="19">
        <v>2.62</v>
      </c>
      <c r="C106" s="19">
        <v>13</v>
      </c>
      <c r="D106" s="19" t="s">
        <v>18</v>
      </c>
      <c r="E106" s="19">
        <v>3.22</v>
      </c>
      <c r="F106" s="19" t="s">
        <v>15</v>
      </c>
      <c r="G106" s="19" t="s">
        <v>12</v>
      </c>
      <c r="H106" s="22">
        <v>45661.036805555559</v>
      </c>
      <c r="I106" s="19" t="s">
        <v>13</v>
      </c>
      <c r="J106" s="19" t="s">
        <v>25</v>
      </c>
    </row>
    <row r="107" spans="1:10" x14ac:dyDescent="0.25">
      <c r="A107" s="19">
        <v>106</v>
      </c>
      <c r="B107" s="19">
        <v>10.96</v>
      </c>
      <c r="C107" s="19">
        <v>72.900000000000006</v>
      </c>
      <c r="D107" s="19" t="s">
        <v>22</v>
      </c>
      <c r="E107" s="19">
        <v>16.27</v>
      </c>
      <c r="F107" s="19" t="s">
        <v>19</v>
      </c>
      <c r="G107" s="19" t="s">
        <v>20</v>
      </c>
      <c r="H107" s="22">
        <v>45659.959027777775</v>
      </c>
      <c r="I107" s="19" t="s">
        <v>21</v>
      </c>
      <c r="J107" s="19" t="s">
        <v>17</v>
      </c>
    </row>
    <row r="108" spans="1:10" x14ac:dyDescent="0.25">
      <c r="A108" s="19">
        <v>107</v>
      </c>
      <c r="B108" s="19">
        <v>10.32</v>
      </c>
      <c r="C108" s="19">
        <v>81.099999999999994</v>
      </c>
      <c r="D108" s="19" t="s">
        <v>10</v>
      </c>
      <c r="E108" s="19">
        <v>13.54</v>
      </c>
      <c r="F108" s="19" t="s">
        <v>11</v>
      </c>
      <c r="G108" s="19" t="s">
        <v>12</v>
      </c>
      <c r="H108" s="22">
        <v>45661.004166666666</v>
      </c>
      <c r="I108" s="19" t="s">
        <v>14</v>
      </c>
      <c r="J108" s="19" t="s">
        <v>21</v>
      </c>
    </row>
    <row r="109" spans="1:10" x14ac:dyDescent="0.25">
      <c r="A109" s="19">
        <v>108</v>
      </c>
      <c r="B109" s="19">
        <v>12</v>
      </c>
      <c r="C109" s="19">
        <v>73.599999999999994</v>
      </c>
      <c r="D109" s="19" t="s">
        <v>10</v>
      </c>
      <c r="E109" s="19">
        <v>16.48</v>
      </c>
      <c r="F109" s="19" t="s">
        <v>11</v>
      </c>
      <c r="G109" s="19" t="s">
        <v>24</v>
      </c>
      <c r="H109" s="22">
        <v>45660.997916666667</v>
      </c>
      <c r="I109" s="19" t="s">
        <v>25</v>
      </c>
      <c r="J109" s="19" t="s">
        <v>17</v>
      </c>
    </row>
    <row r="110" spans="1:10" x14ac:dyDescent="0.25">
      <c r="A110" s="19">
        <v>109</v>
      </c>
      <c r="B110" s="19">
        <v>10.16</v>
      </c>
      <c r="C110" s="19">
        <v>57.7</v>
      </c>
      <c r="D110" s="19" t="s">
        <v>10</v>
      </c>
      <c r="E110" s="19">
        <v>14.07</v>
      </c>
      <c r="F110" s="19" t="s">
        <v>15</v>
      </c>
      <c r="G110" s="19" t="s">
        <v>16</v>
      </c>
      <c r="H110" s="22">
        <v>45659.132638888892</v>
      </c>
      <c r="I110" s="19" t="s">
        <v>13</v>
      </c>
      <c r="J110" s="19" t="s">
        <v>14</v>
      </c>
    </row>
    <row r="111" spans="1:10" x14ac:dyDescent="0.25">
      <c r="A111" s="19">
        <v>110</v>
      </c>
      <c r="B111" s="19">
        <v>7.29</v>
      </c>
      <c r="C111" s="19">
        <v>57.9</v>
      </c>
      <c r="D111" s="19" t="s">
        <v>10</v>
      </c>
      <c r="E111" s="19">
        <v>10.86</v>
      </c>
      <c r="F111" s="19" t="s">
        <v>15</v>
      </c>
      <c r="G111" s="19" t="s">
        <v>20</v>
      </c>
      <c r="H111" s="22">
        <v>45658.482638888891</v>
      </c>
      <c r="I111" s="19" t="s">
        <v>21</v>
      </c>
      <c r="J111" s="19" t="s">
        <v>14</v>
      </c>
    </row>
    <row r="112" spans="1:10" x14ac:dyDescent="0.25">
      <c r="A112" s="19">
        <v>111</v>
      </c>
      <c r="B112" s="19">
        <v>7.97</v>
      </c>
      <c r="C112" s="19">
        <v>51</v>
      </c>
      <c r="D112" s="19" t="s">
        <v>22</v>
      </c>
      <c r="E112" s="19">
        <v>10.73</v>
      </c>
      <c r="F112" s="19" t="s">
        <v>11</v>
      </c>
      <c r="G112" s="19" t="s">
        <v>20</v>
      </c>
      <c r="H112" s="22">
        <v>45660.526388888888</v>
      </c>
      <c r="I112" s="19" t="s">
        <v>25</v>
      </c>
      <c r="J112" s="19" t="s">
        <v>21</v>
      </c>
    </row>
    <row r="113" spans="1:10" x14ac:dyDescent="0.25">
      <c r="A113" s="19">
        <v>112</v>
      </c>
      <c r="B113" s="19">
        <v>10.53</v>
      </c>
      <c r="C113" s="19">
        <v>83.6</v>
      </c>
      <c r="D113" s="19" t="s">
        <v>18</v>
      </c>
      <c r="E113" s="19">
        <v>15.46</v>
      </c>
      <c r="F113" s="19" t="s">
        <v>23</v>
      </c>
      <c r="G113" s="19" t="s">
        <v>12</v>
      </c>
      <c r="H113" s="22">
        <v>45658.365972222222</v>
      </c>
      <c r="I113" s="19" t="s">
        <v>21</v>
      </c>
      <c r="J113" s="19" t="s">
        <v>25</v>
      </c>
    </row>
    <row r="114" spans="1:10" x14ac:dyDescent="0.25">
      <c r="A114" s="19">
        <v>113</v>
      </c>
      <c r="B114" s="19">
        <v>1.51</v>
      </c>
      <c r="C114" s="19">
        <v>7.9</v>
      </c>
      <c r="D114" s="19" t="s">
        <v>10</v>
      </c>
      <c r="E114" s="19">
        <v>1.6</v>
      </c>
      <c r="F114" s="19" t="s">
        <v>15</v>
      </c>
      <c r="G114" s="19" t="s">
        <v>24</v>
      </c>
      <c r="H114" s="22">
        <v>45659.65625</v>
      </c>
      <c r="I114" s="19" t="s">
        <v>25</v>
      </c>
      <c r="J114" s="19" t="s">
        <v>25</v>
      </c>
    </row>
    <row r="115" spans="1:10" x14ac:dyDescent="0.25">
      <c r="A115" s="19">
        <v>114</v>
      </c>
      <c r="B115" s="19">
        <v>10.56</v>
      </c>
      <c r="C115" s="19">
        <v>68</v>
      </c>
      <c r="D115" s="19" t="s">
        <v>18</v>
      </c>
      <c r="E115" s="19">
        <v>11.2</v>
      </c>
      <c r="F115" s="19" t="s">
        <v>11</v>
      </c>
      <c r="G115" s="19" t="s">
        <v>20</v>
      </c>
      <c r="H115" s="22">
        <v>45660.963888888888</v>
      </c>
      <c r="I115" s="19" t="s">
        <v>13</v>
      </c>
      <c r="J115" s="19" t="s">
        <v>21</v>
      </c>
    </row>
    <row r="116" spans="1:10" x14ac:dyDescent="0.25">
      <c r="A116" s="19">
        <v>115</v>
      </c>
      <c r="B116" s="19">
        <v>5.35</v>
      </c>
      <c r="C116" s="19">
        <v>27.2</v>
      </c>
      <c r="D116" s="19" t="s">
        <v>22</v>
      </c>
      <c r="E116" s="19">
        <v>6.7</v>
      </c>
      <c r="F116" s="19" t="s">
        <v>23</v>
      </c>
      <c r="G116" s="19" t="s">
        <v>24</v>
      </c>
      <c r="H116" s="22">
        <v>45661.048611111109</v>
      </c>
      <c r="I116" s="19" t="s">
        <v>25</v>
      </c>
      <c r="J116" s="19" t="s">
        <v>17</v>
      </c>
    </row>
    <row r="117" spans="1:10" x14ac:dyDescent="0.25">
      <c r="A117" s="19">
        <v>116</v>
      </c>
      <c r="B117" s="19">
        <v>9.0500000000000007</v>
      </c>
      <c r="C117" s="19">
        <v>61.3</v>
      </c>
      <c r="D117" s="19" t="s">
        <v>18</v>
      </c>
      <c r="E117" s="19">
        <v>9.61</v>
      </c>
      <c r="F117" s="19" t="s">
        <v>23</v>
      </c>
      <c r="G117" s="19" t="s">
        <v>24</v>
      </c>
      <c r="H117" s="22">
        <v>45659.018750000003</v>
      </c>
      <c r="I117" s="19" t="s">
        <v>25</v>
      </c>
      <c r="J117" s="19" t="s">
        <v>17</v>
      </c>
    </row>
    <row r="118" spans="1:10" x14ac:dyDescent="0.25">
      <c r="A118" s="19">
        <v>117</v>
      </c>
      <c r="B118" s="19">
        <v>3.47</v>
      </c>
      <c r="C118" s="19">
        <v>23.9</v>
      </c>
      <c r="D118" s="19" t="s">
        <v>10</v>
      </c>
      <c r="E118" s="19">
        <v>3.87</v>
      </c>
      <c r="F118" s="19" t="s">
        <v>19</v>
      </c>
      <c r="G118" s="19" t="s">
        <v>24</v>
      </c>
      <c r="H118" s="22">
        <v>45659.609722222223</v>
      </c>
      <c r="I118" s="19" t="s">
        <v>13</v>
      </c>
      <c r="J118" s="19" t="s">
        <v>17</v>
      </c>
    </row>
    <row r="119" spans="1:10" x14ac:dyDescent="0.25">
      <c r="A119" s="19">
        <v>118</v>
      </c>
      <c r="B119" s="19">
        <v>6.2</v>
      </c>
      <c r="C119" s="19">
        <v>56</v>
      </c>
      <c r="D119" s="19" t="s">
        <v>18</v>
      </c>
      <c r="E119" s="19">
        <v>8.7899999999999991</v>
      </c>
      <c r="F119" s="19" t="s">
        <v>23</v>
      </c>
      <c r="G119" s="19" t="s">
        <v>16</v>
      </c>
      <c r="H119" s="22">
        <v>45659.143055555556</v>
      </c>
      <c r="I119" s="19" t="s">
        <v>25</v>
      </c>
      <c r="J119" s="19" t="s">
        <v>14</v>
      </c>
    </row>
    <row r="120" spans="1:10" x14ac:dyDescent="0.25">
      <c r="A120" s="19">
        <v>119</v>
      </c>
      <c r="B120" s="19">
        <v>9.57</v>
      </c>
      <c r="C120" s="19">
        <v>55.7</v>
      </c>
      <c r="D120" s="19" t="s">
        <v>22</v>
      </c>
      <c r="E120" s="19">
        <v>11.89</v>
      </c>
      <c r="F120" s="19" t="s">
        <v>23</v>
      </c>
      <c r="G120" s="19" t="s">
        <v>12</v>
      </c>
      <c r="H120" s="22">
        <v>45660.063194444447</v>
      </c>
      <c r="I120" s="19" t="s">
        <v>14</v>
      </c>
      <c r="J120" s="19" t="s">
        <v>21</v>
      </c>
    </row>
    <row r="121" spans="1:10" x14ac:dyDescent="0.25">
      <c r="A121" s="19">
        <v>120</v>
      </c>
      <c r="B121" s="19">
        <v>3.78</v>
      </c>
      <c r="C121" s="19">
        <v>27.8</v>
      </c>
      <c r="D121" s="19" t="s">
        <v>18</v>
      </c>
      <c r="E121" s="19">
        <v>4.42</v>
      </c>
      <c r="F121" s="19" t="s">
        <v>15</v>
      </c>
      <c r="G121" s="19" t="s">
        <v>24</v>
      </c>
      <c r="H121" s="22">
        <v>45659.704861111109</v>
      </c>
      <c r="I121" s="19" t="s">
        <v>13</v>
      </c>
      <c r="J121" s="19" t="s">
        <v>25</v>
      </c>
    </row>
    <row r="122" spans="1:10" x14ac:dyDescent="0.25">
      <c r="A122" s="19">
        <v>121</v>
      </c>
      <c r="B122" s="19">
        <v>6.32</v>
      </c>
      <c r="C122" s="19">
        <v>32.1</v>
      </c>
      <c r="D122" s="19" t="s">
        <v>18</v>
      </c>
      <c r="E122" s="19">
        <v>6.78</v>
      </c>
      <c r="F122" s="19" t="s">
        <v>11</v>
      </c>
      <c r="G122" s="19" t="s">
        <v>20</v>
      </c>
      <c r="H122" s="22">
        <v>45660.520833333336</v>
      </c>
      <c r="I122" s="19" t="s">
        <v>25</v>
      </c>
      <c r="J122" s="19" t="s">
        <v>14</v>
      </c>
    </row>
    <row r="123" spans="1:10" x14ac:dyDescent="0.25">
      <c r="A123" s="19">
        <v>122</v>
      </c>
      <c r="B123" s="19">
        <v>10.72</v>
      </c>
      <c r="C123" s="19">
        <v>50.3</v>
      </c>
      <c r="D123" s="19" t="s">
        <v>22</v>
      </c>
      <c r="E123" s="19">
        <v>11.96</v>
      </c>
      <c r="F123" s="19" t="s">
        <v>19</v>
      </c>
      <c r="G123" s="19" t="s">
        <v>12</v>
      </c>
      <c r="H123" s="22">
        <v>45660.538888888892</v>
      </c>
      <c r="I123" s="19" t="s">
        <v>13</v>
      </c>
      <c r="J123" s="19" t="s">
        <v>25</v>
      </c>
    </row>
    <row r="124" spans="1:10" x14ac:dyDescent="0.25">
      <c r="A124" s="19">
        <v>123</v>
      </c>
      <c r="B124" s="19">
        <v>10.55</v>
      </c>
      <c r="C124" s="19">
        <v>85.7</v>
      </c>
      <c r="D124" s="19" t="s">
        <v>10</v>
      </c>
      <c r="E124" s="19">
        <v>13.49</v>
      </c>
      <c r="F124" s="19" t="s">
        <v>23</v>
      </c>
      <c r="G124" s="19" t="s">
        <v>20</v>
      </c>
      <c r="H124" s="22">
        <v>45661.467361111114</v>
      </c>
      <c r="I124" s="19" t="s">
        <v>17</v>
      </c>
      <c r="J124" s="19" t="s">
        <v>14</v>
      </c>
    </row>
    <row r="125" spans="1:10" x14ac:dyDescent="0.25">
      <c r="A125" s="19">
        <v>124</v>
      </c>
      <c r="B125" s="19">
        <v>9.67</v>
      </c>
      <c r="C125" s="19">
        <v>65.8</v>
      </c>
      <c r="D125" s="19" t="s">
        <v>10</v>
      </c>
      <c r="E125" s="19">
        <v>9.9499999999999993</v>
      </c>
      <c r="F125" s="19" t="s">
        <v>23</v>
      </c>
      <c r="G125" s="19" t="s">
        <v>20</v>
      </c>
      <c r="H125" s="22">
        <v>45661.75</v>
      </c>
      <c r="I125" s="19" t="s">
        <v>13</v>
      </c>
      <c r="J125" s="19" t="s">
        <v>25</v>
      </c>
    </row>
    <row r="126" spans="1:10" x14ac:dyDescent="0.25">
      <c r="A126" s="19">
        <v>125</v>
      </c>
      <c r="B126" s="19">
        <v>4.09</v>
      </c>
      <c r="C126" s="19">
        <v>33.5</v>
      </c>
      <c r="D126" s="19" t="s">
        <v>18</v>
      </c>
      <c r="E126" s="19">
        <v>5.52</v>
      </c>
      <c r="F126" s="19" t="s">
        <v>11</v>
      </c>
      <c r="G126" s="19" t="s">
        <v>16</v>
      </c>
      <c r="H126" s="22">
        <v>45660.043055555558</v>
      </c>
      <c r="I126" s="19" t="s">
        <v>14</v>
      </c>
      <c r="J126" s="19" t="s">
        <v>21</v>
      </c>
    </row>
    <row r="127" spans="1:10" x14ac:dyDescent="0.25">
      <c r="A127" s="19">
        <v>126</v>
      </c>
      <c r="B127" s="19">
        <v>8.4</v>
      </c>
      <c r="C127" s="19">
        <v>67.2</v>
      </c>
      <c r="D127" s="19" t="s">
        <v>22</v>
      </c>
      <c r="E127" s="19">
        <v>10.79</v>
      </c>
      <c r="F127" s="19" t="s">
        <v>15</v>
      </c>
      <c r="G127" s="19" t="s">
        <v>16</v>
      </c>
      <c r="H127" s="22">
        <v>45661.356249999997</v>
      </c>
      <c r="I127" s="19" t="s">
        <v>14</v>
      </c>
      <c r="J127" s="19" t="s">
        <v>25</v>
      </c>
    </row>
    <row r="128" spans="1:10" x14ac:dyDescent="0.25">
      <c r="A128" s="19">
        <v>127</v>
      </c>
      <c r="B128" s="19">
        <v>10.07</v>
      </c>
      <c r="C128" s="19">
        <v>51.4</v>
      </c>
      <c r="D128" s="19" t="s">
        <v>10</v>
      </c>
      <c r="E128" s="19">
        <v>11.03</v>
      </c>
      <c r="F128" s="19" t="s">
        <v>11</v>
      </c>
      <c r="G128" s="19" t="s">
        <v>24</v>
      </c>
      <c r="H128" s="22">
        <v>45660.59097222222</v>
      </c>
      <c r="I128" s="19" t="s">
        <v>13</v>
      </c>
      <c r="J128" s="19" t="s">
        <v>17</v>
      </c>
    </row>
    <row r="129" spans="1:10" x14ac:dyDescent="0.25">
      <c r="A129" s="19">
        <v>128</v>
      </c>
      <c r="B129" s="19">
        <v>1.47</v>
      </c>
      <c r="C129" s="19">
        <v>11.3</v>
      </c>
      <c r="D129" s="19" t="s">
        <v>18</v>
      </c>
      <c r="E129" s="19">
        <v>1.86</v>
      </c>
      <c r="F129" s="19" t="s">
        <v>15</v>
      </c>
      <c r="G129" s="19" t="s">
        <v>12</v>
      </c>
      <c r="H129" s="22">
        <v>45661.734027777777</v>
      </c>
      <c r="I129" s="19" t="s">
        <v>13</v>
      </c>
      <c r="J129" s="19" t="s">
        <v>17</v>
      </c>
    </row>
    <row r="130" spans="1:10" x14ac:dyDescent="0.25">
      <c r="A130" s="19">
        <v>129</v>
      </c>
      <c r="B130" s="19">
        <v>11.72</v>
      </c>
      <c r="C130" s="19">
        <v>70.599999999999994</v>
      </c>
      <c r="D130" s="19" t="s">
        <v>22</v>
      </c>
      <c r="E130" s="19">
        <v>11.77</v>
      </c>
      <c r="F130" s="19" t="s">
        <v>23</v>
      </c>
      <c r="G130" s="19" t="s">
        <v>12</v>
      </c>
      <c r="H130" s="22">
        <v>45659.427083333336</v>
      </c>
      <c r="I130" s="19" t="s">
        <v>14</v>
      </c>
      <c r="J130" s="19" t="s">
        <v>14</v>
      </c>
    </row>
    <row r="131" spans="1:10" x14ac:dyDescent="0.25">
      <c r="A131" s="19">
        <v>130</v>
      </c>
      <c r="B131" s="19">
        <v>3.89</v>
      </c>
      <c r="C131" s="19">
        <v>28.7</v>
      </c>
      <c r="D131" s="19" t="s">
        <v>18</v>
      </c>
      <c r="E131" s="19">
        <v>5.76</v>
      </c>
      <c r="F131" s="19" t="s">
        <v>19</v>
      </c>
      <c r="G131" s="19" t="s">
        <v>24</v>
      </c>
      <c r="H131" s="22">
        <v>45660.675694444442</v>
      </c>
      <c r="I131" s="19" t="s">
        <v>21</v>
      </c>
      <c r="J131" s="19" t="s">
        <v>14</v>
      </c>
    </row>
    <row r="132" spans="1:10" x14ac:dyDescent="0.25">
      <c r="A132" s="19">
        <v>131</v>
      </c>
      <c r="B132" s="19">
        <v>11.68</v>
      </c>
      <c r="C132" s="19">
        <v>69.2</v>
      </c>
      <c r="D132" s="19" t="s">
        <v>10</v>
      </c>
      <c r="E132" s="19">
        <v>12.36</v>
      </c>
      <c r="F132" s="19" t="s">
        <v>23</v>
      </c>
      <c r="G132" s="19" t="s">
        <v>12</v>
      </c>
      <c r="H132" s="22">
        <v>45659.879861111112</v>
      </c>
      <c r="I132" s="19" t="s">
        <v>13</v>
      </c>
      <c r="J132" s="19" t="s">
        <v>14</v>
      </c>
    </row>
    <row r="133" spans="1:10" x14ac:dyDescent="0.25">
      <c r="A133" s="19">
        <v>132</v>
      </c>
      <c r="B133" s="19">
        <v>9.77</v>
      </c>
      <c r="C133" s="19">
        <v>67.5</v>
      </c>
      <c r="D133" s="19" t="s">
        <v>10</v>
      </c>
      <c r="E133" s="19">
        <v>10.58</v>
      </c>
      <c r="F133" s="19" t="s">
        <v>11</v>
      </c>
      <c r="G133" s="19" t="s">
        <v>16</v>
      </c>
      <c r="H133" s="22">
        <v>45661.668055555558</v>
      </c>
      <c r="I133" s="19" t="s">
        <v>14</v>
      </c>
      <c r="J133" s="19" t="s">
        <v>25</v>
      </c>
    </row>
    <row r="134" spans="1:10" x14ac:dyDescent="0.25">
      <c r="A134" s="19">
        <v>133</v>
      </c>
      <c r="B134" s="19">
        <v>11.09</v>
      </c>
      <c r="C134" s="19">
        <v>57.8</v>
      </c>
      <c r="D134" s="19" t="s">
        <v>10</v>
      </c>
      <c r="E134" s="19">
        <v>12.59</v>
      </c>
      <c r="F134" s="19" t="s">
        <v>23</v>
      </c>
      <c r="G134" s="19" t="s">
        <v>20</v>
      </c>
      <c r="H134" s="22">
        <v>45661.645138888889</v>
      </c>
      <c r="I134" s="19" t="s">
        <v>13</v>
      </c>
      <c r="J134" s="19" t="s">
        <v>13</v>
      </c>
    </row>
    <row r="135" spans="1:10" x14ac:dyDescent="0.25">
      <c r="A135" s="19">
        <v>134</v>
      </c>
      <c r="B135" s="19">
        <v>10</v>
      </c>
      <c r="C135" s="19">
        <v>102.3</v>
      </c>
      <c r="D135" s="19" t="s">
        <v>22</v>
      </c>
      <c r="E135" s="19">
        <v>14.72</v>
      </c>
      <c r="F135" s="19" t="s">
        <v>11</v>
      </c>
      <c r="G135" s="19" t="s">
        <v>12</v>
      </c>
      <c r="H135" s="22">
        <v>45660.202777777777</v>
      </c>
      <c r="I135" s="19" t="s">
        <v>25</v>
      </c>
      <c r="J135" s="19" t="s">
        <v>25</v>
      </c>
    </row>
    <row r="136" spans="1:10" x14ac:dyDescent="0.25">
      <c r="A136" s="19">
        <v>135</v>
      </c>
      <c r="B136" s="19">
        <v>0.99</v>
      </c>
      <c r="C136" s="19">
        <v>5.4</v>
      </c>
      <c r="D136" s="19" t="s">
        <v>18</v>
      </c>
      <c r="E136" s="19">
        <v>1.33</v>
      </c>
      <c r="F136" s="19" t="s">
        <v>11</v>
      </c>
      <c r="G136" s="19" t="s">
        <v>12</v>
      </c>
      <c r="H136" s="22">
        <v>45661.26458333333</v>
      </c>
      <c r="I136" s="19" t="s">
        <v>13</v>
      </c>
      <c r="J136" s="19" t="s">
        <v>13</v>
      </c>
    </row>
    <row r="137" spans="1:10" x14ac:dyDescent="0.25">
      <c r="A137" s="19">
        <v>136</v>
      </c>
      <c r="B137" s="19">
        <v>8.07</v>
      </c>
      <c r="C137" s="19">
        <v>57.2</v>
      </c>
      <c r="D137" s="19" t="s">
        <v>10</v>
      </c>
      <c r="E137" s="19">
        <v>9.34</v>
      </c>
      <c r="F137" s="19" t="s">
        <v>23</v>
      </c>
      <c r="G137" s="19" t="s">
        <v>20</v>
      </c>
      <c r="H137" s="22">
        <v>45659.72152777778</v>
      </c>
      <c r="I137" s="19" t="s">
        <v>17</v>
      </c>
      <c r="J137" s="19" t="s">
        <v>25</v>
      </c>
    </row>
    <row r="138" spans="1:10" x14ac:dyDescent="0.25">
      <c r="A138" s="19">
        <v>137</v>
      </c>
      <c r="B138" s="19">
        <v>2.57</v>
      </c>
      <c r="C138" s="19">
        <v>21.2</v>
      </c>
      <c r="D138" s="19" t="s">
        <v>18</v>
      </c>
      <c r="E138" s="19">
        <v>3.51</v>
      </c>
      <c r="F138" s="19" t="s">
        <v>11</v>
      </c>
      <c r="G138" s="19" t="s">
        <v>24</v>
      </c>
      <c r="H138" s="22">
        <v>45658.734722222223</v>
      </c>
      <c r="I138" s="19" t="s">
        <v>14</v>
      </c>
      <c r="J138" s="19" t="s">
        <v>25</v>
      </c>
    </row>
    <row r="139" spans="1:10" x14ac:dyDescent="0.25">
      <c r="A139" s="19">
        <v>138</v>
      </c>
      <c r="B139" s="19">
        <v>10.99</v>
      </c>
      <c r="C139" s="19">
        <v>63.9</v>
      </c>
      <c r="D139" s="19" t="s">
        <v>18</v>
      </c>
      <c r="E139" s="19">
        <v>13.74</v>
      </c>
      <c r="F139" s="19" t="s">
        <v>11</v>
      </c>
      <c r="G139" s="19" t="s">
        <v>20</v>
      </c>
      <c r="H139" s="22">
        <v>45658.474999999999</v>
      </c>
      <c r="I139" s="19" t="s">
        <v>13</v>
      </c>
      <c r="J139" s="19" t="s">
        <v>25</v>
      </c>
    </row>
    <row r="140" spans="1:10" x14ac:dyDescent="0.25">
      <c r="A140" s="19">
        <v>139</v>
      </c>
      <c r="B140" s="19">
        <v>6.9</v>
      </c>
      <c r="C140" s="19">
        <v>47.8</v>
      </c>
      <c r="D140" s="19" t="s">
        <v>22</v>
      </c>
      <c r="E140" s="19">
        <v>7.2</v>
      </c>
      <c r="F140" s="19" t="s">
        <v>19</v>
      </c>
      <c r="G140" s="19" t="s">
        <v>24</v>
      </c>
      <c r="H140" s="22">
        <v>45659.261111111111</v>
      </c>
      <c r="I140" s="19" t="s">
        <v>17</v>
      </c>
      <c r="J140" s="19" t="s">
        <v>14</v>
      </c>
    </row>
    <row r="141" spans="1:10" x14ac:dyDescent="0.25">
      <c r="A141" s="19">
        <v>140</v>
      </c>
      <c r="B141" s="19">
        <v>10.79</v>
      </c>
      <c r="C141" s="19">
        <v>76.7</v>
      </c>
      <c r="D141" s="19" t="s">
        <v>22</v>
      </c>
      <c r="E141" s="19">
        <v>13.96</v>
      </c>
      <c r="F141" s="19" t="s">
        <v>19</v>
      </c>
      <c r="G141" s="19" t="s">
        <v>16</v>
      </c>
      <c r="H141" s="22">
        <v>45658.444444444445</v>
      </c>
      <c r="I141" s="19" t="s">
        <v>21</v>
      </c>
      <c r="J141" s="19" t="s">
        <v>17</v>
      </c>
    </row>
    <row r="142" spans="1:10" x14ac:dyDescent="0.25">
      <c r="A142" s="19">
        <v>141</v>
      </c>
      <c r="B142" s="19">
        <v>7.06</v>
      </c>
      <c r="C142" s="19">
        <v>47.7</v>
      </c>
      <c r="D142" s="19" t="s">
        <v>18</v>
      </c>
      <c r="E142" s="19">
        <v>7.66</v>
      </c>
      <c r="F142" s="19" t="s">
        <v>19</v>
      </c>
      <c r="G142" s="19" t="s">
        <v>16</v>
      </c>
      <c r="H142" s="22">
        <v>45659.904166666667</v>
      </c>
      <c r="I142" s="19" t="s">
        <v>13</v>
      </c>
      <c r="J142" s="19" t="s">
        <v>25</v>
      </c>
    </row>
    <row r="143" spans="1:10" x14ac:dyDescent="0.25">
      <c r="A143" s="19">
        <v>142</v>
      </c>
      <c r="B143" s="19">
        <v>1.41</v>
      </c>
      <c r="C143" s="19">
        <v>9.8000000000000007</v>
      </c>
      <c r="D143" s="19" t="s">
        <v>10</v>
      </c>
      <c r="E143" s="19">
        <v>1.56</v>
      </c>
      <c r="F143" s="19" t="s">
        <v>11</v>
      </c>
      <c r="G143" s="19" t="s">
        <v>20</v>
      </c>
      <c r="H143" s="22">
        <v>45658.376388888886</v>
      </c>
      <c r="I143" s="19" t="s">
        <v>14</v>
      </c>
      <c r="J143" s="19" t="s">
        <v>17</v>
      </c>
    </row>
    <row r="144" spans="1:10" x14ac:dyDescent="0.25">
      <c r="A144" s="19">
        <v>143</v>
      </c>
      <c r="B144" s="19">
        <v>6.37</v>
      </c>
      <c r="C144" s="19">
        <v>39.9</v>
      </c>
      <c r="D144" s="19" t="s">
        <v>10</v>
      </c>
      <c r="E144" s="19">
        <v>9.2100000000000009</v>
      </c>
      <c r="F144" s="19" t="s">
        <v>23</v>
      </c>
      <c r="G144" s="19" t="s">
        <v>24</v>
      </c>
      <c r="H144" s="22">
        <v>45661.094444444447</v>
      </c>
      <c r="I144" s="19" t="s">
        <v>17</v>
      </c>
      <c r="J144" s="19" t="s">
        <v>14</v>
      </c>
    </row>
    <row r="145" spans="1:10" x14ac:dyDescent="0.25">
      <c r="A145" s="19">
        <v>144</v>
      </c>
      <c r="B145" s="19">
        <v>7.96</v>
      </c>
      <c r="C145" s="19">
        <v>57</v>
      </c>
      <c r="D145" s="19" t="s">
        <v>10</v>
      </c>
      <c r="E145" s="19">
        <v>9.67</v>
      </c>
      <c r="F145" s="19" t="s">
        <v>11</v>
      </c>
      <c r="G145" s="19" t="s">
        <v>24</v>
      </c>
      <c r="H145" s="22">
        <v>45659.223611111112</v>
      </c>
      <c r="I145" s="19" t="s">
        <v>17</v>
      </c>
      <c r="J145" s="19" t="s">
        <v>25</v>
      </c>
    </row>
    <row r="146" spans="1:10" x14ac:dyDescent="0.25">
      <c r="A146" s="19">
        <v>145</v>
      </c>
      <c r="B146" s="19">
        <v>3.7</v>
      </c>
      <c r="C146" s="19">
        <v>23.2</v>
      </c>
      <c r="D146" s="19" t="s">
        <v>22</v>
      </c>
      <c r="E146" s="19">
        <v>4.46</v>
      </c>
      <c r="F146" s="19" t="s">
        <v>15</v>
      </c>
      <c r="G146" s="19" t="s">
        <v>12</v>
      </c>
      <c r="H146" s="22">
        <v>45661.143055555556</v>
      </c>
      <c r="I146" s="19" t="s">
        <v>25</v>
      </c>
      <c r="J146" s="19" t="s">
        <v>14</v>
      </c>
    </row>
    <row r="147" spans="1:10" x14ac:dyDescent="0.25">
      <c r="A147" s="19">
        <v>146</v>
      </c>
      <c r="B147" s="19">
        <v>5.34</v>
      </c>
      <c r="C147" s="19">
        <v>44</v>
      </c>
      <c r="D147" s="19" t="s">
        <v>18</v>
      </c>
      <c r="E147" s="19">
        <v>6.56</v>
      </c>
      <c r="F147" s="19" t="s">
        <v>15</v>
      </c>
      <c r="G147" s="19" t="s">
        <v>16</v>
      </c>
      <c r="H147" s="22">
        <v>45660.063888888886</v>
      </c>
      <c r="I147" s="19" t="s">
        <v>25</v>
      </c>
      <c r="J147" s="19" t="s">
        <v>13</v>
      </c>
    </row>
    <row r="148" spans="1:10" x14ac:dyDescent="0.25">
      <c r="A148" s="19">
        <v>147</v>
      </c>
      <c r="B148" s="19">
        <v>7.31</v>
      </c>
      <c r="C148" s="19">
        <v>42.9</v>
      </c>
      <c r="D148" s="19" t="s">
        <v>22</v>
      </c>
      <c r="E148" s="19">
        <v>9.58</v>
      </c>
      <c r="F148" s="19" t="s">
        <v>19</v>
      </c>
      <c r="G148" s="19" t="s">
        <v>16</v>
      </c>
      <c r="H148" s="22">
        <v>45661.318749999999</v>
      </c>
      <c r="I148" s="19" t="s">
        <v>21</v>
      </c>
      <c r="J148" s="19" t="s">
        <v>25</v>
      </c>
    </row>
    <row r="149" spans="1:10" x14ac:dyDescent="0.25">
      <c r="A149" s="19">
        <v>148</v>
      </c>
      <c r="B149" s="19">
        <v>2.2200000000000002</v>
      </c>
      <c r="C149" s="19">
        <v>18.399999999999999</v>
      </c>
      <c r="D149" s="19" t="s">
        <v>22</v>
      </c>
      <c r="E149" s="19">
        <v>3.13</v>
      </c>
      <c r="F149" s="19" t="s">
        <v>19</v>
      </c>
      <c r="G149" s="19" t="s">
        <v>12</v>
      </c>
      <c r="H149" s="22">
        <v>45661.397222222222</v>
      </c>
      <c r="I149" s="19" t="s">
        <v>17</v>
      </c>
      <c r="J149" s="19" t="s">
        <v>13</v>
      </c>
    </row>
    <row r="150" spans="1:10" x14ac:dyDescent="0.25">
      <c r="A150" s="19">
        <v>149</v>
      </c>
      <c r="B150" s="19">
        <v>9.1300000000000008</v>
      </c>
      <c r="C150" s="19">
        <v>61.4</v>
      </c>
      <c r="D150" s="19" t="s">
        <v>22</v>
      </c>
      <c r="E150" s="19">
        <v>12.81</v>
      </c>
      <c r="F150" s="19" t="s">
        <v>19</v>
      </c>
      <c r="G150" s="19" t="s">
        <v>16</v>
      </c>
      <c r="H150" s="22">
        <v>45659.228472222225</v>
      </c>
      <c r="I150" s="19" t="s">
        <v>14</v>
      </c>
      <c r="J150" s="19" t="s">
        <v>21</v>
      </c>
    </row>
    <row r="151" spans="1:10" x14ac:dyDescent="0.25">
      <c r="A151" s="19">
        <v>150</v>
      </c>
      <c r="B151" s="19">
        <v>10.130000000000001</v>
      </c>
      <c r="C151" s="19">
        <v>83.7</v>
      </c>
      <c r="D151" s="19" t="s">
        <v>22</v>
      </c>
      <c r="E151" s="19">
        <v>14.87</v>
      </c>
      <c r="F151" s="19" t="s">
        <v>11</v>
      </c>
      <c r="G151" s="19" t="s">
        <v>24</v>
      </c>
      <c r="H151" s="22">
        <v>45658.447916666664</v>
      </c>
      <c r="I151" s="19" t="s">
        <v>14</v>
      </c>
      <c r="J151" s="19" t="s">
        <v>14</v>
      </c>
    </row>
    <row r="152" spans="1:10" x14ac:dyDescent="0.25">
      <c r="A152" s="19">
        <v>151</v>
      </c>
      <c r="B152" s="19">
        <v>3.22</v>
      </c>
      <c r="C152" s="19">
        <v>17.7</v>
      </c>
      <c r="D152" s="19" t="s">
        <v>18</v>
      </c>
      <c r="E152" s="19">
        <v>3.79</v>
      </c>
      <c r="F152" s="19" t="s">
        <v>11</v>
      </c>
      <c r="G152" s="19" t="s">
        <v>20</v>
      </c>
      <c r="H152" s="22">
        <v>45660.927777777775</v>
      </c>
      <c r="I152" s="19" t="s">
        <v>13</v>
      </c>
      <c r="J152" s="19" t="s">
        <v>25</v>
      </c>
    </row>
    <row r="153" spans="1:10" x14ac:dyDescent="0.25">
      <c r="A153" s="19">
        <v>152</v>
      </c>
      <c r="B153" s="19">
        <v>3.45</v>
      </c>
      <c r="C153" s="19">
        <v>15.4</v>
      </c>
      <c r="D153" s="19" t="s">
        <v>22</v>
      </c>
      <c r="E153" s="19">
        <v>3.6</v>
      </c>
      <c r="F153" s="19" t="s">
        <v>15</v>
      </c>
      <c r="G153" s="19" t="s">
        <v>20</v>
      </c>
      <c r="H153" s="22">
        <v>45659.534722222219</v>
      </c>
      <c r="I153" s="19" t="s">
        <v>17</v>
      </c>
      <c r="J153" s="19" t="s">
        <v>13</v>
      </c>
    </row>
    <row r="154" spans="1:10" x14ac:dyDescent="0.25">
      <c r="A154" s="19">
        <v>153</v>
      </c>
      <c r="B154" s="19">
        <v>3.56</v>
      </c>
      <c r="C154" s="19">
        <v>28.9</v>
      </c>
      <c r="D154" s="19" t="s">
        <v>18</v>
      </c>
      <c r="E154" s="19">
        <v>4.47</v>
      </c>
      <c r="F154" s="19" t="s">
        <v>23</v>
      </c>
      <c r="G154" s="19" t="s">
        <v>20</v>
      </c>
      <c r="H154" s="22">
        <v>45660.763888888891</v>
      </c>
      <c r="I154" s="19" t="s">
        <v>14</v>
      </c>
      <c r="J154" s="19" t="s">
        <v>25</v>
      </c>
    </row>
    <row r="155" spans="1:10" x14ac:dyDescent="0.25">
      <c r="A155" s="19">
        <v>154</v>
      </c>
      <c r="B155" s="19">
        <v>7.86</v>
      </c>
      <c r="C155" s="19">
        <v>65.2</v>
      </c>
      <c r="D155" s="19" t="s">
        <v>10</v>
      </c>
      <c r="E155" s="19">
        <v>10.02</v>
      </c>
      <c r="F155" s="19" t="s">
        <v>19</v>
      </c>
      <c r="G155" s="19" t="s">
        <v>24</v>
      </c>
      <c r="H155" s="22">
        <v>45659.486111111109</v>
      </c>
      <c r="I155" s="19" t="s">
        <v>13</v>
      </c>
      <c r="J155" s="19" t="s">
        <v>13</v>
      </c>
    </row>
    <row r="156" spans="1:10" x14ac:dyDescent="0.25">
      <c r="A156" s="19">
        <v>155</v>
      </c>
      <c r="B156" s="19">
        <v>4.26</v>
      </c>
      <c r="C156" s="19">
        <v>27.8</v>
      </c>
      <c r="D156" s="19" t="s">
        <v>22</v>
      </c>
      <c r="E156" s="19">
        <v>6.22</v>
      </c>
      <c r="F156" s="19" t="s">
        <v>19</v>
      </c>
      <c r="G156" s="19" t="s">
        <v>24</v>
      </c>
      <c r="H156" s="22">
        <v>45660.630555555559</v>
      </c>
      <c r="I156" s="19" t="s">
        <v>21</v>
      </c>
      <c r="J156" s="19" t="s">
        <v>13</v>
      </c>
    </row>
    <row r="157" spans="1:10" x14ac:dyDescent="0.25">
      <c r="A157" s="19">
        <v>156</v>
      </c>
      <c r="B157" s="19">
        <v>5.81</v>
      </c>
      <c r="C157" s="19">
        <v>37</v>
      </c>
      <c r="D157" s="19" t="s">
        <v>18</v>
      </c>
      <c r="E157" s="19">
        <v>6.34</v>
      </c>
      <c r="F157" s="19" t="s">
        <v>15</v>
      </c>
      <c r="G157" s="19" t="s">
        <v>20</v>
      </c>
      <c r="H157" s="22">
        <v>45659.518750000003</v>
      </c>
      <c r="I157" s="19" t="s">
        <v>21</v>
      </c>
      <c r="J157" s="19" t="s">
        <v>21</v>
      </c>
    </row>
    <row r="158" spans="1:10" x14ac:dyDescent="0.25">
      <c r="A158" s="19">
        <v>157</v>
      </c>
      <c r="B158" s="19">
        <v>11.25</v>
      </c>
      <c r="C158" s="19">
        <v>99</v>
      </c>
      <c r="D158" s="19" t="s">
        <v>18</v>
      </c>
      <c r="E158" s="19">
        <v>14.73</v>
      </c>
      <c r="F158" s="19" t="s">
        <v>19</v>
      </c>
      <c r="G158" s="19" t="s">
        <v>16</v>
      </c>
      <c r="H158" s="22">
        <v>45661.597916666666</v>
      </c>
      <c r="I158" s="19" t="s">
        <v>17</v>
      </c>
      <c r="J158" s="19" t="s">
        <v>13</v>
      </c>
    </row>
    <row r="159" spans="1:10" x14ac:dyDescent="0.25">
      <c r="A159" s="19">
        <v>158</v>
      </c>
      <c r="B159" s="19">
        <v>11.13</v>
      </c>
      <c r="C159" s="19">
        <v>70.8</v>
      </c>
      <c r="D159" s="19" t="s">
        <v>10</v>
      </c>
      <c r="E159" s="19">
        <v>11.21</v>
      </c>
      <c r="F159" s="19" t="s">
        <v>11</v>
      </c>
      <c r="G159" s="19" t="s">
        <v>12</v>
      </c>
      <c r="H159" s="22">
        <v>45660.665972222225</v>
      </c>
      <c r="I159" s="19" t="s">
        <v>13</v>
      </c>
      <c r="J159" s="19" t="s">
        <v>21</v>
      </c>
    </row>
    <row r="160" spans="1:10" x14ac:dyDescent="0.25">
      <c r="A160" s="19">
        <v>159</v>
      </c>
      <c r="B160" s="19">
        <v>5.3</v>
      </c>
      <c r="C160" s="19">
        <v>48.7</v>
      </c>
      <c r="D160" s="19" t="s">
        <v>22</v>
      </c>
      <c r="E160" s="19">
        <v>7</v>
      </c>
      <c r="F160" s="19" t="s">
        <v>11</v>
      </c>
      <c r="G160" s="19" t="s">
        <v>16</v>
      </c>
      <c r="H160" s="22">
        <v>45661.219444444447</v>
      </c>
      <c r="I160" s="19" t="s">
        <v>21</v>
      </c>
      <c r="J160" s="19" t="s">
        <v>17</v>
      </c>
    </row>
    <row r="161" spans="1:10" x14ac:dyDescent="0.25">
      <c r="A161" s="19">
        <v>160</v>
      </c>
      <c r="B161" s="19">
        <v>9.16</v>
      </c>
      <c r="C161" s="19">
        <v>60.7</v>
      </c>
      <c r="D161" s="19" t="s">
        <v>22</v>
      </c>
      <c r="E161" s="19">
        <v>12.47</v>
      </c>
      <c r="F161" s="19" t="s">
        <v>15</v>
      </c>
      <c r="G161" s="19" t="s">
        <v>16</v>
      </c>
      <c r="H161" s="22">
        <v>45659.32708333333</v>
      </c>
      <c r="I161" s="19" t="s">
        <v>21</v>
      </c>
      <c r="J161" s="19" t="s">
        <v>13</v>
      </c>
    </row>
    <row r="162" spans="1:10" x14ac:dyDescent="0.25">
      <c r="A162" s="19">
        <v>161</v>
      </c>
      <c r="B162" s="19">
        <v>10.82</v>
      </c>
      <c r="C162" s="19">
        <v>108.8</v>
      </c>
      <c r="D162" s="19" t="s">
        <v>18</v>
      </c>
      <c r="E162" s="19">
        <v>15.71</v>
      </c>
      <c r="F162" s="19" t="s">
        <v>11</v>
      </c>
      <c r="G162" s="19" t="s">
        <v>20</v>
      </c>
      <c r="H162" s="22">
        <v>45660.097222222219</v>
      </c>
      <c r="I162" s="19" t="s">
        <v>13</v>
      </c>
      <c r="J162" s="19" t="s">
        <v>17</v>
      </c>
    </row>
    <row r="163" spans="1:10" x14ac:dyDescent="0.25">
      <c r="A163" s="19">
        <v>162</v>
      </c>
      <c r="B163" s="19">
        <v>1.29</v>
      </c>
      <c r="C163" s="19">
        <v>9.5</v>
      </c>
      <c r="D163" s="19" t="s">
        <v>22</v>
      </c>
      <c r="E163" s="19">
        <v>1.51</v>
      </c>
      <c r="F163" s="19" t="s">
        <v>15</v>
      </c>
      <c r="G163" s="19" t="s">
        <v>12</v>
      </c>
      <c r="H163" s="22">
        <v>45658.73541666667</v>
      </c>
      <c r="I163" s="19" t="s">
        <v>17</v>
      </c>
      <c r="J163" s="19" t="s">
        <v>14</v>
      </c>
    </row>
    <row r="164" spans="1:10" x14ac:dyDescent="0.25">
      <c r="A164" s="19">
        <v>163</v>
      </c>
      <c r="B164" s="19">
        <v>5.05</v>
      </c>
      <c r="C164" s="19">
        <v>39.299999999999997</v>
      </c>
      <c r="D164" s="19" t="s">
        <v>18</v>
      </c>
      <c r="E164" s="19">
        <v>5.76</v>
      </c>
      <c r="F164" s="19" t="s">
        <v>19</v>
      </c>
      <c r="G164" s="19" t="s">
        <v>20</v>
      </c>
      <c r="H164" s="22">
        <v>45661.272222222222</v>
      </c>
      <c r="I164" s="19" t="s">
        <v>25</v>
      </c>
      <c r="J164" s="19" t="s">
        <v>14</v>
      </c>
    </row>
    <row r="165" spans="1:10" x14ac:dyDescent="0.25">
      <c r="A165" s="19">
        <v>164</v>
      </c>
      <c r="B165" s="19">
        <v>8.07</v>
      </c>
      <c r="C165" s="19">
        <v>61.1</v>
      </c>
      <c r="D165" s="19" t="s">
        <v>18</v>
      </c>
      <c r="E165" s="19">
        <v>9.07</v>
      </c>
      <c r="F165" s="19" t="s">
        <v>15</v>
      </c>
      <c r="G165" s="19" t="s">
        <v>20</v>
      </c>
      <c r="H165" s="22">
        <v>45660.561111111114</v>
      </c>
      <c r="I165" s="19" t="s">
        <v>13</v>
      </c>
      <c r="J165" s="19" t="s">
        <v>14</v>
      </c>
    </row>
    <row r="166" spans="1:10" x14ac:dyDescent="0.25">
      <c r="A166" s="19">
        <v>165</v>
      </c>
      <c r="B166" s="19">
        <v>10.41</v>
      </c>
      <c r="C166" s="19">
        <v>52</v>
      </c>
      <c r="D166" s="19" t="s">
        <v>18</v>
      </c>
      <c r="E166" s="19">
        <v>10.83</v>
      </c>
      <c r="F166" s="19" t="s">
        <v>23</v>
      </c>
      <c r="G166" s="19" t="s">
        <v>24</v>
      </c>
      <c r="H166" s="22">
        <v>45659.128472222219</v>
      </c>
      <c r="I166" s="19" t="s">
        <v>13</v>
      </c>
      <c r="J166" s="19" t="s">
        <v>13</v>
      </c>
    </row>
    <row r="167" spans="1:10" x14ac:dyDescent="0.25">
      <c r="A167" s="19">
        <v>166</v>
      </c>
      <c r="B167" s="19">
        <v>2.19</v>
      </c>
      <c r="C167" s="19">
        <v>14.1</v>
      </c>
      <c r="D167" s="19" t="s">
        <v>22</v>
      </c>
      <c r="E167" s="19">
        <v>2.68</v>
      </c>
      <c r="F167" s="19" t="s">
        <v>19</v>
      </c>
      <c r="G167" s="19" t="s">
        <v>20</v>
      </c>
      <c r="H167" s="22">
        <v>45658.430555555555</v>
      </c>
      <c r="I167" s="19" t="s">
        <v>21</v>
      </c>
      <c r="J167" s="19" t="s">
        <v>14</v>
      </c>
    </row>
    <row r="168" spans="1:10" x14ac:dyDescent="0.25">
      <c r="A168" s="19">
        <v>167</v>
      </c>
      <c r="B168" s="19">
        <v>2.87</v>
      </c>
      <c r="C168" s="19">
        <v>17.2</v>
      </c>
      <c r="D168" s="19" t="s">
        <v>18</v>
      </c>
      <c r="E168" s="19">
        <v>3.72</v>
      </c>
      <c r="F168" s="19" t="s">
        <v>15</v>
      </c>
      <c r="G168" s="19" t="s">
        <v>16</v>
      </c>
      <c r="H168" s="22">
        <v>45659.11041666667</v>
      </c>
      <c r="I168" s="19" t="s">
        <v>17</v>
      </c>
      <c r="J168" s="19" t="s">
        <v>13</v>
      </c>
    </row>
    <row r="169" spans="1:10" x14ac:dyDescent="0.25">
      <c r="A169" s="19">
        <v>168</v>
      </c>
      <c r="B169" s="19">
        <v>8.14</v>
      </c>
      <c r="C169" s="19">
        <v>52.3</v>
      </c>
      <c r="D169" s="19" t="s">
        <v>10</v>
      </c>
      <c r="E169" s="19">
        <v>9.5299999999999994</v>
      </c>
      <c r="F169" s="19" t="s">
        <v>15</v>
      </c>
      <c r="G169" s="19" t="s">
        <v>12</v>
      </c>
      <c r="H169" s="22">
        <v>45659.643750000003</v>
      </c>
      <c r="I169" s="19" t="s">
        <v>21</v>
      </c>
      <c r="J169" s="19" t="s">
        <v>13</v>
      </c>
    </row>
    <row r="170" spans="1:10" x14ac:dyDescent="0.25">
      <c r="A170" s="19">
        <v>169</v>
      </c>
      <c r="B170" s="19">
        <v>10.35</v>
      </c>
      <c r="C170" s="19">
        <v>51.1</v>
      </c>
      <c r="D170" s="19" t="s">
        <v>10</v>
      </c>
      <c r="E170" s="19">
        <v>12.72</v>
      </c>
      <c r="F170" s="19" t="s">
        <v>11</v>
      </c>
      <c r="G170" s="19" t="s">
        <v>12</v>
      </c>
      <c r="H170" s="22">
        <v>45660.551388888889</v>
      </c>
      <c r="I170" s="19" t="s">
        <v>13</v>
      </c>
      <c r="J170" s="19" t="s">
        <v>21</v>
      </c>
    </row>
    <row r="171" spans="1:10" x14ac:dyDescent="0.25">
      <c r="A171" s="19">
        <v>170</v>
      </c>
      <c r="B171" s="19">
        <v>5.85</v>
      </c>
      <c r="C171" s="19">
        <v>30.4</v>
      </c>
      <c r="D171" s="19" t="s">
        <v>18</v>
      </c>
      <c r="E171" s="19">
        <v>6.48</v>
      </c>
      <c r="F171" s="19" t="s">
        <v>19</v>
      </c>
      <c r="G171" s="19" t="s">
        <v>12</v>
      </c>
      <c r="H171" s="22">
        <v>45659.325694444444</v>
      </c>
      <c r="I171" s="19" t="s">
        <v>13</v>
      </c>
      <c r="J171" s="19" t="s">
        <v>13</v>
      </c>
    </row>
    <row r="172" spans="1:10" x14ac:dyDescent="0.25">
      <c r="A172" s="19">
        <v>171</v>
      </c>
      <c r="B172" s="19">
        <v>11.41</v>
      </c>
      <c r="C172" s="19">
        <v>89</v>
      </c>
      <c r="D172" s="19" t="s">
        <v>22</v>
      </c>
      <c r="E172" s="19">
        <v>12.98</v>
      </c>
      <c r="F172" s="19" t="s">
        <v>11</v>
      </c>
      <c r="G172" s="19" t="s">
        <v>16</v>
      </c>
      <c r="H172" s="22">
        <v>45659.125694444447</v>
      </c>
      <c r="I172" s="19" t="s">
        <v>21</v>
      </c>
      <c r="J172" s="19" t="s">
        <v>25</v>
      </c>
    </row>
    <row r="173" spans="1:10" x14ac:dyDescent="0.25">
      <c r="A173" s="19">
        <v>172</v>
      </c>
      <c r="B173" s="19">
        <v>11.16</v>
      </c>
      <c r="C173" s="19">
        <v>73</v>
      </c>
      <c r="D173" s="19" t="s">
        <v>10</v>
      </c>
      <c r="E173" s="19">
        <v>13.63</v>
      </c>
      <c r="F173" s="19" t="s">
        <v>23</v>
      </c>
      <c r="G173" s="19" t="s">
        <v>16</v>
      </c>
      <c r="H173" s="22">
        <v>45661.486805555556</v>
      </c>
      <c r="I173" s="19" t="s">
        <v>25</v>
      </c>
      <c r="J173" s="19" t="s">
        <v>13</v>
      </c>
    </row>
    <row r="174" spans="1:10" x14ac:dyDescent="0.25">
      <c r="A174" s="19">
        <v>173</v>
      </c>
      <c r="B174" s="19">
        <v>3.17</v>
      </c>
      <c r="C174" s="19">
        <v>27.2</v>
      </c>
      <c r="D174" s="19" t="s">
        <v>18</v>
      </c>
      <c r="E174" s="19">
        <v>4.09</v>
      </c>
      <c r="F174" s="19" t="s">
        <v>19</v>
      </c>
      <c r="G174" s="19" t="s">
        <v>16</v>
      </c>
      <c r="H174" s="22">
        <v>45661.489583333336</v>
      </c>
      <c r="I174" s="19" t="s">
        <v>25</v>
      </c>
      <c r="J174" s="19" t="s">
        <v>21</v>
      </c>
    </row>
    <row r="175" spans="1:10" x14ac:dyDescent="0.25">
      <c r="A175" s="19">
        <v>174</v>
      </c>
      <c r="B175" s="19">
        <v>4.3600000000000003</v>
      </c>
      <c r="C175" s="19">
        <v>25</v>
      </c>
      <c r="D175" s="19" t="s">
        <v>18</v>
      </c>
      <c r="E175" s="19">
        <v>6.19</v>
      </c>
      <c r="F175" s="19" t="s">
        <v>15</v>
      </c>
      <c r="G175" s="19" t="s">
        <v>20</v>
      </c>
      <c r="H175" s="22">
        <v>45660.581944444442</v>
      </c>
      <c r="I175" s="19" t="s">
        <v>25</v>
      </c>
      <c r="J175" s="19" t="s">
        <v>21</v>
      </c>
    </row>
    <row r="176" spans="1:10" x14ac:dyDescent="0.25">
      <c r="A176" s="19">
        <v>175</v>
      </c>
      <c r="B176" s="19">
        <v>3.88</v>
      </c>
      <c r="C176" s="19">
        <v>30.2</v>
      </c>
      <c r="D176" s="19" t="s">
        <v>18</v>
      </c>
      <c r="E176" s="19">
        <v>5.15</v>
      </c>
      <c r="F176" s="19" t="s">
        <v>11</v>
      </c>
      <c r="G176" s="19" t="s">
        <v>16</v>
      </c>
      <c r="H176" s="22">
        <v>45660.42291666667</v>
      </c>
      <c r="I176" s="19" t="s">
        <v>13</v>
      </c>
      <c r="J176" s="19" t="s">
        <v>14</v>
      </c>
    </row>
    <row r="177" spans="1:10" x14ac:dyDescent="0.25">
      <c r="A177" s="19">
        <v>176</v>
      </c>
      <c r="B177" s="19">
        <v>2.88</v>
      </c>
      <c r="C177" s="19">
        <v>15.5</v>
      </c>
      <c r="D177" s="19" t="s">
        <v>10</v>
      </c>
      <c r="E177" s="19">
        <v>3.66</v>
      </c>
      <c r="F177" s="19" t="s">
        <v>19</v>
      </c>
      <c r="G177" s="19" t="s">
        <v>24</v>
      </c>
      <c r="H177" s="22">
        <v>45659.299305555556</v>
      </c>
      <c r="I177" s="19" t="s">
        <v>13</v>
      </c>
      <c r="J177" s="19" t="s">
        <v>13</v>
      </c>
    </row>
    <row r="178" spans="1:10" x14ac:dyDescent="0.25">
      <c r="A178" s="19">
        <v>177</v>
      </c>
      <c r="B178" s="19">
        <v>9.59</v>
      </c>
      <c r="C178" s="19">
        <v>79.400000000000006</v>
      </c>
      <c r="D178" s="19" t="s">
        <v>10</v>
      </c>
      <c r="E178" s="19">
        <v>11.98</v>
      </c>
      <c r="F178" s="19" t="s">
        <v>23</v>
      </c>
      <c r="G178" s="19" t="s">
        <v>24</v>
      </c>
      <c r="H178" s="22">
        <v>45661.53125</v>
      </c>
      <c r="I178" s="19" t="s">
        <v>13</v>
      </c>
      <c r="J178" s="19" t="s">
        <v>17</v>
      </c>
    </row>
    <row r="179" spans="1:10" x14ac:dyDescent="0.25">
      <c r="A179" s="19">
        <v>178</v>
      </c>
      <c r="B179" s="19">
        <v>7.51</v>
      </c>
      <c r="C179" s="19">
        <v>71.400000000000006</v>
      </c>
      <c r="D179" s="19" t="s">
        <v>22</v>
      </c>
      <c r="E179" s="19">
        <v>10.76</v>
      </c>
      <c r="F179" s="19" t="s">
        <v>23</v>
      </c>
      <c r="G179" s="19" t="s">
        <v>12</v>
      </c>
      <c r="H179" s="22">
        <v>45660.818749999999</v>
      </c>
      <c r="I179" s="19" t="s">
        <v>25</v>
      </c>
      <c r="J179" s="19" t="s">
        <v>14</v>
      </c>
    </row>
    <row r="180" spans="1:10" x14ac:dyDescent="0.25">
      <c r="A180" s="19">
        <v>179</v>
      </c>
      <c r="B180" s="19">
        <v>11.72</v>
      </c>
      <c r="C180" s="19">
        <v>74.900000000000006</v>
      </c>
      <c r="D180" s="19" t="s">
        <v>10</v>
      </c>
      <c r="E180" s="19">
        <v>15.17</v>
      </c>
      <c r="F180" s="19" t="s">
        <v>23</v>
      </c>
      <c r="G180" s="19" t="s">
        <v>20</v>
      </c>
      <c r="H180" s="22">
        <v>45660.71597222222</v>
      </c>
      <c r="I180" s="19" t="s">
        <v>13</v>
      </c>
      <c r="J180" s="19" t="s">
        <v>17</v>
      </c>
    </row>
    <row r="181" spans="1:10" x14ac:dyDescent="0.25">
      <c r="A181" s="19">
        <v>180</v>
      </c>
      <c r="B181" s="19">
        <v>4.75</v>
      </c>
      <c r="C181" s="19">
        <v>24.5</v>
      </c>
      <c r="D181" s="19" t="s">
        <v>10</v>
      </c>
      <c r="E181" s="19">
        <v>5.78</v>
      </c>
      <c r="F181" s="19" t="s">
        <v>15</v>
      </c>
      <c r="G181" s="19" t="s">
        <v>12</v>
      </c>
      <c r="H181" s="22">
        <v>45660.23333333333</v>
      </c>
      <c r="I181" s="19" t="s">
        <v>13</v>
      </c>
      <c r="J181" s="19" t="s">
        <v>25</v>
      </c>
    </row>
    <row r="182" spans="1:10" x14ac:dyDescent="0.25">
      <c r="A182" s="19">
        <v>181</v>
      </c>
      <c r="B182" s="19">
        <v>10.38</v>
      </c>
      <c r="C182" s="19">
        <v>74.900000000000006</v>
      </c>
      <c r="D182" s="19" t="s">
        <v>10</v>
      </c>
      <c r="E182" s="19">
        <v>11.31</v>
      </c>
      <c r="F182" s="19" t="s">
        <v>19</v>
      </c>
      <c r="G182" s="19" t="s">
        <v>20</v>
      </c>
      <c r="H182" s="22">
        <v>45660.115277777775</v>
      </c>
      <c r="I182" s="19" t="s">
        <v>14</v>
      </c>
      <c r="J182" s="19" t="s">
        <v>21</v>
      </c>
    </row>
    <row r="183" spans="1:10" x14ac:dyDescent="0.25">
      <c r="A183" s="19">
        <v>182</v>
      </c>
      <c r="B183" s="19">
        <v>8.01</v>
      </c>
      <c r="C183" s="19">
        <v>56.3</v>
      </c>
      <c r="D183" s="19" t="s">
        <v>10</v>
      </c>
      <c r="E183" s="19">
        <v>8.56</v>
      </c>
      <c r="F183" s="19" t="s">
        <v>11</v>
      </c>
      <c r="G183" s="19" t="s">
        <v>20</v>
      </c>
      <c r="H183" s="22">
        <v>45658.86041666667</v>
      </c>
      <c r="I183" s="19" t="s">
        <v>25</v>
      </c>
      <c r="J183" s="19" t="s">
        <v>21</v>
      </c>
    </row>
    <row r="184" spans="1:10" x14ac:dyDescent="0.25">
      <c r="A184" s="19">
        <v>183</v>
      </c>
      <c r="B184" s="19">
        <v>9.68</v>
      </c>
      <c r="C184" s="19">
        <v>85.7</v>
      </c>
      <c r="D184" s="19" t="s">
        <v>22</v>
      </c>
      <c r="E184" s="19">
        <v>13.19</v>
      </c>
      <c r="F184" s="19" t="s">
        <v>15</v>
      </c>
      <c r="G184" s="19" t="s">
        <v>16</v>
      </c>
      <c r="H184" s="22">
        <v>45659.793749999997</v>
      </c>
      <c r="I184" s="19" t="s">
        <v>17</v>
      </c>
      <c r="J184" s="19" t="s">
        <v>13</v>
      </c>
    </row>
    <row r="185" spans="1:10" x14ac:dyDescent="0.25">
      <c r="A185" s="19">
        <v>184</v>
      </c>
      <c r="B185" s="19">
        <v>7.72</v>
      </c>
      <c r="C185" s="19">
        <v>44.1</v>
      </c>
      <c r="D185" s="19" t="s">
        <v>10</v>
      </c>
      <c r="E185" s="19">
        <v>10.3</v>
      </c>
      <c r="F185" s="19" t="s">
        <v>15</v>
      </c>
      <c r="G185" s="19" t="s">
        <v>12</v>
      </c>
      <c r="H185" s="22">
        <v>45659.104861111111</v>
      </c>
      <c r="I185" s="19" t="s">
        <v>17</v>
      </c>
      <c r="J185" s="19" t="s">
        <v>21</v>
      </c>
    </row>
    <row r="186" spans="1:10" x14ac:dyDescent="0.25">
      <c r="A186" s="19">
        <v>185</v>
      </c>
      <c r="B186" s="19">
        <v>8.43</v>
      </c>
      <c r="C186" s="19">
        <v>78.900000000000006</v>
      </c>
      <c r="D186" s="19" t="s">
        <v>22</v>
      </c>
      <c r="E186" s="19">
        <v>12.07</v>
      </c>
      <c r="F186" s="19" t="s">
        <v>15</v>
      </c>
      <c r="G186" s="19" t="s">
        <v>12</v>
      </c>
      <c r="H186" s="22">
        <v>45660.737500000003</v>
      </c>
      <c r="I186" s="19" t="s">
        <v>17</v>
      </c>
      <c r="J186" s="19" t="s">
        <v>25</v>
      </c>
    </row>
    <row r="187" spans="1:10" x14ac:dyDescent="0.25">
      <c r="A187" s="19">
        <v>186</v>
      </c>
      <c r="B187" s="19">
        <v>8.82</v>
      </c>
      <c r="C187" s="19">
        <v>64.5</v>
      </c>
      <c r="D187" s="19" t="s">
        <v>18</v>
      </c>
      <c r="E187" s="19">
        <v>11.24</v>
      </c>
      <c r="F187" s="19" t="s">
        <v>11</v>
      </c>
      <c r="G187" s="19" t="s">
        <v>12</v>
      </c>
      <c r="H187" s="22">
        <v>45658.826388888891</v>
      </c>
      <c r="I187" s="19" t="s">
        <v>25</v>
      </c>
      <c r="J187" s="19" t="s">
        <v>21</v>
      </c>
    </row>
    <row r="188" spans="1:10" x14ac:dyDescent="0.25">
      <c r="A188" s="19">
        <v>187</v>
      </c>
      <c r="B188" s="19">
        <v>1.18</v>
      </c>
      <c r="C188" s="19">
        <v>7.1</v>
      </c>
      <c r="D188" s="19" t="s">
        <v>10</v>
      </c>
      <c r="E188" s="19">
        <v>1.62</v>
      </c>
      <c r="F188" s="19" t="s">
        <v>15</v>
      </c>
      <c r="G188" s="19" t="s">
        <v>16</v>
      </c>
      <c r="H188" s="22">
        <v>45660.883333333331</v>
      </c>
      <c r="I188" s="19" t="s">
        <v>17</v>
      </c>
      <c r="J188" s="19" t="s">
        <v>17</v>
      </c>
    </row>
    <row r="189" spans="1:10" x14ac:dyDescent="0.25">
      <c r="A189" s="19">
        <v>188</v>
      </c>
      <c r="B189" s="19">
        <v>10.68</v>
      </c>
      <c r="C189" s="19">
        <v>75.099999999999994</v>
      </c>
      <c r="D189" s="19" t="s">
        <v>10</v>
      </c>
      <c r="E189" s="19">
        <v>14.53</v>
      </c>
      <c r="F189" s="19" t="s">
        <v>23</v>
      </c>
      <c r="G189" s="19" t="s">
        <v>20</v>
      </c>
      <c r="H189" s="22">
        <v>45661.675694444442</v>
      </c>
      <c r="I189" s="19" t="s">
        <v>25</v>
      </c>
      <c r="J189" s="19" t="s">
        <v>13</v>
      </c>
    </row>
    <row r="190" spans="1:10" x14ac:dyDescent="0.25">
      <c r="A190" s="19">
        <v>189</v>
      </c>
      <c r="B190" s="19">
        <v>0.96</v>
      </c>
      <c r="C190" s="19">
        <v>6.7</v>
      </c>
      <c r="D190" s="19" t="s">
        <v>10</v>
      </c>
      <c r="E190" s="19">
        <v>1.05</v>
      </c>
      <c r="F190" s="19" t="s">
        <v>15</v>
      </c>
      <c r="G190" s="19" t="s">
        <v>24</v>
      </c>
      <c r="H190" s="22">
        <v>45660.571527777778</v>
      </c>
      <c r="I190" s="19" t="s">
        <v>21</v>
      </c>
      <c r="J190" s="19" t="s">
        <v>25</v>
      </c>
    </row>
    <row r="191" spans="1:10" x14ac:dyDescent="0.25">
      <c r="A191" s="19">
        <v>190</v>
      </c>
      <c r="B191" s="19">
        <v>11.73</v>
      </c>
      <c r="C191" s="19">
        <v>90.6</v>
      </c>
      <c r="D191" s="19" t="s">
        <v>18</v>
      </c>
      <c r="E191" s="19">
        <v>17.29</v>
      </c>
      <c r="F191" s="19" t="s">
        <v>15</v>
      </c>
      <c r="G191" s="19" t="s">
        <v>16</v>
      </c>
      <c r="H191" s="22">
        <v>45660.347916666666</v>
      </c>
      <c r="I191" s="19" t="s">
        <v>13</v>
      </c>
      <c r="J191" s="19" t="s">
        <v>13</v>
      </c>
    </row>
    <row r="192" spans="1:10" x14ac:dyDescent="0.25">
      <c r="A192" s="19">
        <v>191</v>
      </c>
      <c r="B192" s="19">
        <v>11.05</v>
      </c>
      <c r="C192" s="19">
        <v>77.5</v>
      </c>
      <c r="D192" s="19" t="s">
        <v>22</v>
      </c>
      <c r="E192" s="19">
        <v>13.3</v>
      </c>
      <c r="F192" s="19" t="s">
        <v>11</v>
      </c>
      <c r="G192" s="19" t="s">
        <v>16</v>
      </c>
      <c r="H192" s="22">
        <v>45661.409722222219</v>
      </c>
      <c r="I192" s="19" t="s">
        <v>17</v>
      </c>
      <c r="J192" s="19" t="s">
        <v>25</v>
      </c>
    </row>
    <row r="193" spans="1:10" x14ac:dyDescent="0.25">
      <c r="A193" s="19">
        <v>192</v>
      </c>
      <c r="B193" s="19">
        <v>7.73</v>
      </c>
      <c r="C193" s="19">
        <v>53.4</v>
      </c>
      <c r="D193" s="19" t="s">
        <v>10</v>
      </c>
      <c r="E193" s="19">
        <v>9.0299999999999994</v>
      </c>
      <c r="F193" s="19" t="s">
        <v>11</v>
      </c>
      <c r="G193" s="19" t="s">
        <v>16</v>
      </c>
      <c r="H193" s="22">
        <v>45659.461805555555</v>
      </c>
      <c r="I193" s="19" t="s">
        <v>21</v>
      </c>
      <c r="J193" s="19" t="s">
        <v>25</v>
      </c>
    </row>
    <row r="194" spans="1:10" x14ac:dyDescent="0.25">
      <c r="A194" s="19">
        <v>193</v>
      </c>
      <c r="B194" s="19">
        <v>8.31</v>
      </c>
      <c r="C194" s="19">
        <v>56</v>
      </c>
      <c r="D194" s="19" t="s">
        <v>10</v>
      </c>
      <c r="E194" s="19">
        <v>8.64</v>
      </c>
      <c r="F194" s="19" t="s">
        <v>19</v>
      </c>
      <c r="G194" s="19" t="s">
        <v>20</v>
      </c>
      <c r="H194" s="22">
        <v>45659.665972222225</v>
      </c>
      <c r="I194" s="19" t="s">
        <v>14</v>
      </c>
      <c r="J194" s="19" t="s">
        <v>17</v>
      </c>
    </row>
    <row r="195" spans="1:10" x14ac:dyDescent="0.25">
      <c r="A195" s="19">
        <v>194</v>
      </c>
      <c r="B195" s="19">
        <v>11.18</v>
      </c>
      <c r="C195" s="19">
        <v>73.400000000000006</v>
      </c>
      <c r="D195" s="19" t="s">
        <v>10</v>
      </c>
      <c r="E195" s="19">
        <v>12.35</v>
      </c>
      <c r="F195" s="19" t="s">
        <v>23</v>
      </c>
      <c r="G195" s="19" t="s">
        <v>24</v>
      </c>
      <c r="H195" s="22">
        <v>45661.054166666669</v>
      </c>
      <c r="I195" s="19" t="s">
        <v>13</v>
      </c>
      <c r="J195" s="19" t="s">
        <v>25</v>
      </c>
    </row>
    <row r="196" spans="1:10" x14ac:dyDescent="0.25">
      <c r="A196" s="19">
        <v>195</v>
      </c>
      <c r="B196" s="19">
        <v>1.28</v>
      </c>
      <c r="C196" s="19">
        <v>6</v>
      </c>
      <c r="D196" s="19" t="s">
        <v>10</v>
      </c>
      <c r="E196" s="19">
        <v>1.46</v>
      </c>
      <c r="F196" s="19" t="s">
        <v>23</v>
      </c>
      <c r="G196" s="19" t="s">
        <v>24</v>
      </c>
      <c r="H196" s="22">
        <v>45658.936805555553</v>
      </c>
      <c r="I196" s="19" t="s">
        <v>13</v>
      </c>
      <c r="J196" s="19" t="s">
        <v>25</v>
      </c>
    </row>
    <row r="197" spans="1:10" x14ac:dyDescent="0.25">
      <c r="A197" s="19">
        <v>196</v>
      </c>
      <c r="B197" s="19">
        <v>9.02</v>
      </c>
      <c r="C197" s="19">
        <v>38.4</v>
      </c>
      <c r="D197" s="19" t="s">
        <v>22</v>
      </c>
      <c r="E197" s="19">
        <v>9.57</v>
      </c>
      <c r="F197" s="19" t="s">
        <v>19</v>
      </c>
      <c r="G197" s="19" t="s">
        <v>16</v>
      </c>
      <c r="H197" s="22">
        <v>45660.390277777777</v>
      </c>
      <c r="I197" s="19" t="s">
        <v>21</v>
      </c>
      <c r="J197" s="19" t="s">
        <v>13</v>
      </c>
    </row>
    <row r="198" spans="1:10" x14ac:dyDescent="0.25">
      <c r="A198" s="19">
        <v>197</v>
      </c>
      <c r="B198" s="19">
        <v>6.73</v>
      </c>
      <c r="C198" s="19">
        <v>59.2</v>
      </c>
      <c r="D198" s="19" t="s">
        <v>22</v>
      </c>
      <c r="E198" s="19">
        <v>10.039999999999999</v>
      </c>
      <c r="F198" s="19" t="s">
        <v>19</v>
      </c>
      <c r="G198" s="19" t="s">
        <v>16</v>
      </c>
      <c r="H198" s="22">
        <v>45660.147222222222</v>
      </c>
      <c r="I198" s="19" t="s">
        <v>13</v>
      </c>
      <c r="J198" s="19" t="s">
        <v>13</v>
      </c>
    </row>
    <row r="199" spans="1:10" x14ac:dyDescent="0.25">
      <c r="A199" s="19">
        <v>198</v>
      </c>
      <c r="B199" s="19">
        <v>6.98</v>
      </c>
      <c r="C199" s="19">
        <v>51.4</v>
      </c>
      <c r="D199" s="19" t="s">
        <v>10</v>
      </c>
      <c r="E199" s="19">
        <v>7.83</v>
      </c>
      <c r="F199" s="19" t="s">
        <v>23</v>
      </c>
      <c r="G199" s="19" t="s">
        <v>16</v>
      </c>
      <c r="H199" s="22">
        <v>45658.335416666669</v>
      </c>
      <c r="I199" s="19" t="s">
        <v>21</v>
      </c>
      <c r="J199" s="19" t="s">
        <v>17</v>
      </c>
    </row>
    <row r="200" spans="1:10" x14ac:dyDescent="0.25">
      <c r="A200" s="19">
        <v>199</v>
      </c>
      <c r="B200" s="19">
        <v>3.8</v>
      </c>
      <c r="C200" s="19">
        <v>29.2</v>
      </c>
      <c r="D200" s="19" t="s">
        <v>18</v>
      </c>
      <c r="E200" s="19">
        <v>5.34</v>
      </c>
      <c r="F200" s="19" t="s">
        <v>11</v>
      </c>
      <c r="G200" s="19" t="s">
        <v>20</v>
      </c>
      <c r="H200" s="22">
        <v>45661.31527777778</v>
      </c>
      <c r="I200" s="19" t="s">
        <v>13</v>
      </c>
      <c r="J200" s="19" t="s">
        <v>14</v>
      </c>
    </row>
    <row r="201" spans="1:10" x14ac:dyDescent="0.25">
      <c r="A201" s="19">
        <v>200</v>
      </c>
      <c r="B201" s="19">
        <v>6.55</v>
      </c>
      <c r="C201" s="19">
        <v>40.799999999999997</v>
      </c>
      <c r="D201" s="19" t="s">
        <v>18</v>
      </c>
      <c r="E201" s="19">
        <v>7.72</v>
      </c>
      <c r="F201" s="19" t="s">
        <v>15</v>
      </c>
      <c r="G201" s="19" t="s">
        <v>24</v>
      </c>
      <c r="H201" s="22">
        <v>45661.633333333331</v>
      </c>
      <c r="I201" s="19" t="s">
        <v>13</v>
      </c>
      <c r="J201" s="19" t="s">
        <v>14</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1"/>
  <sheetViews>
    <sheetView workbookViewId="0"/>
  </sheetViews>
  <sheetFormatPr defaultRowHeight="15" x14ac:dyDescent="0.25"/>
  <cols>
    <col min="1" max="1" width="10.7109375" style="6" customWidth="1"/>
    <col min="2" max="2" width="14.28515625" style="2" customWidth="1"/>
    <col min="3" max="3" width="20" style="8" customWidth="1"/>
    <col min="4" max="4" width="13.85546875" style="3" customWidth="1"/>
    <col min="5" max="5" width="18.42578125" style="2" customWidth="1"/>
    <col min="6" max="6" width="16.5703125" customWidth="1"/>
    <col min="7" max="7" width="10.5703125" customWidth="1"/>
    <col min="8" max="8" width="15.85546875" bestFit="1" customWidth="1"/>
    <col min="9" max="9" width="17.5703125" customWidth="1"/>
    <col min="10" max="10" width="16.7109375" customWidth="1"/>
    <col min="11" max="11" width="10.7109375" style="10" bestFit="1" customWidth="1"/>
    <col min="12" max="12" width="9.140625" style="8"/>
    <col min="16" max="17" width="15.85546875" bestFit="1" customWidth="1"/>
    <col min="18" max="18" width="10.85546875" style="10" bestFit="1" customWidth="1"/>
    <col min="19" max="19" width="19.7109375" style="10" bestFit="1" customWidth="1"/>
  </cols>
  <sheetData>
    <row r="1" spans="1:20" x14ac:dyDescent="0.25">
      <c r="A1" s="6" t="s">
        <v>0</v>
      </c>
      <c r="B1" s="2" t="s">
        <v>1</v>
      </c>
      <c r="C1" s="8" t="s">
        <v>2</v>
      </c>
      <c r="D1" s="3" t="s">
        <v>3</v>
      </c>
      <c r="E1" s="2" t="s">
        <v>4</v>
      </c>
      <c r="F1" t="s">
        <v>5</v>
      </c>
      <c r="G1" t="s">
        <v>6</v>
      </c>
      <c r="H1" s="1" t="s">
        <v>7</v>
      </c>
      <c r="I1" t="s">
        <v>8</v>
      </c>
      <c r="J1" t="s">
        <v>9</v>
      </c>
      <c r="K1" s="10" t="s">
        <v>30</v>
      </c>
      <c r="L1" s="8" t="s">
        <v>31</v>
      </c>
      <c r="M1" t="s">
        <v>33</v>
      </c>
      <c r="N1" t="s">
        <v>34</v>
      </c>
      <c r="O1" t="s">
        <v>35</v>
      </c>
      <c r="P1" t="s">
        <v>47</v>
      </c>
      <c r="Q1" t="s">
        <v>60</v>
      </c>
      <c r="R1" s="10" t="s">
        <v>29</v>
      </c>
      <c r="S1" s="10" t="s">
        <v>27</v>
      </c>
      <c r="T1" t="s">
        <v>28</v>
      </c>
    </row>
    <row r="2" spans="1:20" x14ac:dyDescent="0.25">
      <c r="A2" s="6">
        <v>1</v>
      </c>
      <c r="B2" s="2">
        <v>7.97</v>
      </c>
      <c r="C2" s="8">
        <v>63.8</v>
      </c>
      <c r="D2" s="3" t="s">
        <v>10</v>
      </c>
      <c r="E2" s="2">
        <v>9.75</v>
      </c>
      <c r="F2" t="s">
        <v>11</v>
      </c>
      <c r="G2" t="s">
        <v>12</v>
      </c>
      <c r="H2" s="1">
        <v>45658.645138888889</v>
      </c>
      <c r="I2" t="s">
        <v>13</v>
      </c>
      <c r="J2" t="s">
        <v>14</v>
      </c>
      <c r="K2" s="10">
        <f>INT(tblDelivery[[#This Row],[order_time]])</f>
        <v>45658</v>
      </c>
      <c r="L2" s="9">
        <f>HOUR(tblDelivery[[#This Row],[order_time]])</f>
        <v>15</v>
      </c>
      <c r="M2">
        <f>IF(tblDelivery[[#This Row],[delivery_time_min]]&lt;=Time_Target,1,0)</f>
        <v>0</v>
      </c>
      <c r="N2" s="8">
        <f>IF(AND(COUNTBLANK(tblDelivery[[#This Row],[order_id]:[customer_zone]])=0,tblDelivery[[#This Row],[delivery_time_min]]&gt;0,tblDelivery[[#This Row],[distance_km]]&gt;0,tblDelivery[[#This Row],[route_length_km]]&gt;=tblDelivery[[#This Row],[distance_km]]*0.99,COUNTIFS(tblDelivery[order_id],tblDelivery[[#This Row],[order_id]])=1),1,0)</f>
        <v>1</v>
      </c>
      <c r="O2" s="8">
        <f>SUBTOTAL(103,tblDelivery[[#This Row],[order_id]])</f>
        <v>1</v>
      </c>
      <c r="P2" s="8" t="str" cm="1">
        <f t="array" ref="P2">_xlfn.IFS(tblDelivery[[#This Row],[distance_km]]&lt;2,"&lt; 2 km",tblDelivery[[#This Row],[distance_km]]&lt;5,"2 to 5 km",tblDelivery[[#This Row],[distance_km]]&lt;10,"5 to 10 km",TRUE,"10 km and above")</f>
        <v>5 to 10 km</v>
      </c>
      <c r="Q2" s="8" t="str" cm="1">
        <f t="array" ref="Q2">_xlfn.IFS(tblDelivery[[#This Row],[route_length_km]]&lt;2,"&lt;2 km",tblDelivery[[#This Row],[route_length_km]]&lt;5,"2 to 5 km",tblDelivery[[#This Row],[route_length_km]]&lt;10,"5 to 10 km",TRUE,"10 km and above")</f>
        <v>5 to 10 km</v>
      </c>
      <c r="R2" s="11"/>
      <c r="S2" s="10" t="s">
        <v>32</v>
      </c>
      <c r="T2" s="7">
        <v>45</v>
      </c>
    </row>
    <row r="3" spans="1:20" x14ac:dyDescent="0.25">
      <c r="A3" s="6">
        <v>2</v>
      </c>
      <c r="B3" s="2">
        <v>0.9</v>
      </c>
      <c r="C3" s="8">
        <v>7.6</v>
      </c>
      <c r="D3" s="3" t="s">
        <v>10</v>
      </c>
      <c r="E3" s="2">
        <v>1.28</v>
      </c>
      <c r="F3" t="s">
        <v>15</v>
      </c>
      <c r="G3" t="s">
        <v>16</v>
      </c>
      <c r="H3" s="1">
        <v>45660.032638888886</v>
      </c>
      <c r="I3" t="s">
        <v>17</v>
      </c>
      <c r="J3" t="s">
        <v>14</v>
      </c>
      <c r="K3" s="10">
        <f>INT(tblDelivery[[#This Row],[order_time]])</f>
        <v>45660</v>
      </c>
      <c r="L3" s="8">
        <f>HOUR(tblDelivery[[#This Row],[order_time]])</f>
        <v>0</v>
      </c>
      <c r="M3">
        <f>IF(tblDelivery[[#This Row],[delivery_time_min]]&lt;=Time_Target,1,0)</f>
        <v>1</v>
      </c>
      <c r="N3" s="8">
        <f>IF(AND(COUNTBLANK(tblDelivery[[#This Row],[order_id]:[customer_zone]])=0,tblDelivery[[#This Row],[delivery_time_min]]&gt;0,tblDelivery[[#This Row],[distance_km]]&gt;0,tblDelivery[[#This Row],[route_length_km]]&gt;=tblDelivery[[#This Row],[distance_km]]*0.99,COUNTIFS(tblDelivery[order_id],tblDelivery[[#This Row],[order_id]])=1),1,0)</f>
        <v>1</v>
      </c>
      <c r="O3" s="8">
        <f>SUBTOTAL(103,tblDelivery[[#This Row],[order_id]])</f>
        <v>1</v>
      </c>
      <c r="P3" s="8" t="str" cm="1">
        <f t="array" ref="P3">_xlfn.IFS(tblDelivery[[#This Row],[distance_km]]&lt;2,"&lt; 2 km",tblDelivery[[#This Row],[distance_km]]&lt;5,"2 to 5 km",tblDelivery[[#This Row],[distance_km]]&lt;10,"5 to 10 km",TRUE,"10 km and above")</f>
        <v>&lt; 2 km</v>
      </c>
      <c r="Q3" s="8" t="str" cm="1">
        <f t="array" ref="Q3">_xlfn.IFS(tblDelivery[[#This Row],[route_length_km]]&lt;2,"&lt;2 km",tblDelivery[[#This Row],[route_length_km]]&lt;5,"2 to 5 km",tblDelivery[[#This Row],[route_length_km]]&lt;10,"5 to 10 km",TRUE,"10 km and above")</f>
        <v>&lt;2 km</v>
      </c>
      <c r="S3" s="8">
        <v>45</v>
      </c>
      <c r="T3" s="8"/>
    </row>
    <row r="4" spans="1:20" x14ac:dyDescent="0.25">
      <c r="A4" s="6">
        <v>3</v>
      </c>
      <c r="B4" s="2">
        <v>11.12</v>
      </c>
      <c r="C4" s="8">
        <v>78</v>
      </c>
      <c r="D4" s="3" t="s">
        <v>18</v>
      </c>
      <c r="E4" s="2">
        <v>16.649999999999999</v>
      </c>
      <c r="F4" t="s">
        <v>19</v>
      </c>
      <c r="G4" t="s">
        <v>20</v>
      </c>
      <c r="H4" s="1">
        <v>45661.730555555558</v>
      </c>
      <c r="I4" t="s">
        <v>13</v>
      </c>
      <c r="J4" t="s">
        <v>21</v>
      </c>
      <c r="K4" s="10">
        <f>INT(tblDelivery[[#This Row],[order_time]])</f>
        <v>45661</v>
      </c>
      <c r="L4" s="8">
        <f>HOUR(tblDelivery[[#This Row],[order_time]])</f>
        <v>17</v>
      </c>
      <c r="M4">
        <f>IF(tblDelivery[[#This Row],[delivery_time_min]]&lt;=Time_Target,1,0)</f>
        <v>0</v>
      </c>
      <c r="N4" s="8">
        <f>IF(AND(COUNTBLANK(tblDelivery[[#This Row],[order_id]:[customer_zone]])=0,tblDelivery[[#This Row],[delivery_time_min]]&gt;0,tblDelivery[[#This Row],[distance_km]]&gt;0,tblDelivery[[#This Row],[route_length_km]]&gt;=tblDelivery[[#This Row],[distance_km]]*0.99,COUNTIFS(tblDelivery[order_id],tblDelivery[[#This Row],[order_id]])=1),1,0)</f>
        <v>1</v>
      </c>
      <c r="O4" s="8">
        <f>SUBTOTAL(103,tblDelivery[[#This Row],[order_id]])</f>
        <v>1</v>
      </c>
      <c r="P4" s="8" t="str" cm="1">
        <f t="array" ref="P4">_xlfn.IFS(tblDelivery[[#This Row],[distance_km]]&lt;2,"&lt; 2 km",tblDelivery[[#This Row],[distance_km]]&lt;5,"2 to 5 km",tblDelivery[[#This Row],[distance_km]]&lt;10,"5 to 10 km",TRUE,"10 km and above")</f>
        <v>10 km and above</v>
      </c>
      <c r="Q4" s="8" t="str" cm="1">
        <f t="array" ref="Q4">_xlfn.IFS(tblDelivery[[#This Row],[route_length_km]]&lt;2,"&lt;2 km",tblDelivery[[#This Row],[route_length_km]]&lt;5,"2 to 5 km",tblDelivery[[#This Row],[route_length_km]]&lt;10,"5 to 10 km",TRUE,"10 km and above")</f>
        <v>10 km and above</v>
      </c>
      <c r="T4" s="8"/>
    </row>
    <row r="5" spans="1:20" x14ac:dyDescent="0.25">
      <c r="A5" s="6">
        <v>4</v>
      </c>
      <c r="B5" s="2">
        <v>4.9000000000000004</v>
      </c>
      <c r="C5" s="8">
        <v>24.8</v>
      </c>
      <c r="D5" s="3" t="s">
        <v>22</v>
      </c>
      <c r="E5" s="2">
        <v>5.25</v>
      </c>
      <c r="F5" t="s">
        <v>23</v>
      </c>
      <c r="G5" t="s">
        <v>20</v>
      </c>
      <c r="H5" s="1">
        <v>45658.591666666667</v>
      </c>
      <c r="I5" t="s">
        <v>21</v>
      </c>
      <c r="J5" t="s">
        <v>21</v>
      </c>
      <c r="K5" s="10">
        <f>INT(tblDelivery[[#This Row],[order_time]])</f>
        <v>45658</v>
      </c>
      <c r="L5" s="8">
        <f>HOUR(tblDelivery[[#This Row],[order_time]])</f>
        <v>14</v>
      </c>
      <c r="M5">
        <f>IF(tblDelivery[[#This Row],[delivery_time_min]]&lt;=Time_Target,1,0)</f>
        <v>1</v>
      </c>
      <c r="N5" s="8">
        <f>IF(AND(COUNTBLANK(tblDelivery[[#This Row],[order_id]:[customer_zone]])=0,tblDelivery[[#This Row],[delivery_time_min]]&gt;0,tblDelivery[[#This Row],[distance_km]]&gt;0,tblDelivery[[#This Row],[route_length_km]]&gt;=tblDelivery[[#This Row],[distance_km]]*0.99,COUNTIFS(tblDelivery[order_id],tblDelivery[[#This Row],[order_id]])=1),1,0)</f>
        <v>1</v>
      </c>
      <c r="O5" s="8">
        <f>SUBTOTAL(103,tblDelivery[[#This Row],[order_id]])</f>
        <v>1</v>
      </c>
      <c r="P5" s="8" t="str" cm="1">
        <f t="array" ref="P5">_xlfn.IFS(tblDelivery[[#This Row],[distance_km]]&lt;2,"&lt; 2 km",tblDelivery[[#This Row],[distance_km]]&lt;5,"2 to 5 km",tblDelivery[[#This Row],[distance_km]]&lt;10,"5 to 10 km",TRUE,"10 km and above")</f>
        <v>2 to 5 km</v>
      </c>
      <c r="Q5" s="8" t="str" cm="1">
        <f t="array" ref="Q5">_xlfn.IFS(tblDelivery[[#This Row],[route_length_km]]&lt;2,"&lt;2 km",tblDelivery[[#This Row],[route_length_km]]&lt;5,"2 to 5 km",tblDelivery[[#This Row],[route_length_km]]&lt;10,"5 to 10 km",TRUE,"10 km and above")</f>
        <v>5 to 10 km</v>
      </c>
      <c r="S5" s="8"/>
      <c r="T5" s="8"/>
    </row>
    <row r="6" spans="1:20" x14ac:dyDescent="0.25">
      <c r="A6" s="6">
        <v>5</v>
      </c>
      <c r="B6" s="2">
        <v>10.039999999999999</v>
      </c>
      <c r="C6" s="8">
        <v>56</v>
      </c>
      <c r="D6" s="3" t="s">
        <v>10</v>
      </c>
      <c r="E6" s="2">
        <v>11.34</v>
      </c>
      <c r="F6" t="s">
        <v>15</v>
      </c>
      <c r="G6" t="s">
        <v>20</v>
      </c>
      <c r="H6" s="1">
        <v>45659.701388888891</v>
      </c>
      <c r="I6" t="s">
        <v>17</v>
      </c>
      <c r="J6" t="s">
        <v>14</v>
      </c>
      <c r="K6" s="10">
        <f>INT(tblDelivery[[#This Row],[order_time]])</f>
        <v>45659</v>
      </c>
      <c r="L6" s="8">
        <f>HOUR(tblDelivery[[#This Row],[order_time]])</f>
        <v>16</v>
      </c>
      <c r="M6">
        <f>IF(tblDelivery[[#This Row],[delivery_time_min]]&lt;=Time_Target,1,0)</f>
        <v>0</v>
      </c>
      <c r="N6" s="8">
        <f>IF(AND(COUNTBLANK(tblDelivery[[#This Row],[order_id]:[customer_zone]])=0,tblDelivery[[#This Row],[delivery_time_min]]&gt;0,tblDelivery[[#This Row],[distance_km]]&gt;0,tblDelivery[[#This Row],[route_length_km]]&gt;=tblDelivery[[#This Row],[distance_km]]*0.99,COUNTIFS(tblDelivery[order_id],tblDelivery[[#This Row],[order_id]])=1),1,0)</f>
        <v>1</v>
      </c>
      <c r="O6" s="8">
        <f>SUBTOTAL(103,tblDelivery[[#This Row],[order_id]])</f>
        <v>1</v>
      </c>
      <c r="P6" s="8" t="str" cm="1">
        <f t="array" ref="P6">_xlfn.IFS(tblDelivery[[#This Row],[distance_km]]&lt;2,"&lt; 2 km",tblDelivery[[#This Row],[distance_km]]&lt;5,"2 to 5 km",tblDelivery[[#This Row],[distance_km]]&lt;10,"5 to 10 km",TRUE,"10 km and above")</f>
        <v>10 km and above</v>
      </c>
      <c r="Q6" s="8" t="str" cm="1">
        <f t="array" ref="Q6">_xlfn.IFS(tblDelivery[[#This Row],[route_length_km]]&lt;2,"&lt;2 km",tblDelivery[[#This Row],[route_length_km]]&lt;5,"2 to 5 km",tblDelivery[[#This Row],[route_length_km]]&lt;10,"5 to 10 km",TRUE,"10 km and above")</f>
        <v>10 km and above</v>
      </c>
      <c r="T6" s="8"/>
    </row>
    <row r="7" spans="1:20" x14ac:dyDescent="0.25">
      <c r="A7" s="6">
        <v>6</v>
      </c>
      <c r="B7" s="2">
        <v>10.96</v>
      </c>
      <c r="C7" s="8">
        <v>76.8</v>
      </c>
      <c r="D7" s="3" t="s">
        <v>10</v>
      </c>
      <c r="E7" s="2">
        <v>13.62</v>
      </c>
      <c r="F7" t="s">
        <v>15</v>
      </c>
      <c r="G7" t="s">
        <v>24</v>
      </c>
      <c r="H7" s="1">
        <v>45659.413888888892</v>
      </c>
      <c r="I7" t="s">
        <v>17</v>
      </c>
      <c r="J7" t="s">
        <v>14</v>
      </c>
      <c r="K7" s="10">
        <f>INT(tblDelivery[[#This Row],[order_time]])</f>
        <v>45659</v>
      </c>
      <c r="L7" s="8">
        <f>HOUR(tblDelivery[[#This Row],[order_time]])</f>
        <v>9</v>
      </c>
      <c r="M7">
        <f>IF(tblDelivery[[#This Row],[delivery_time_min]]&lt;=Time_Target,1,0)</f>
        <v>0</v>
      </c>
      <c r="N7" s="8">
        <f>IF(AND(COUNTBLANK(tblDelivery[[#This Row],[order_id]:[customer_zone]])=0,tblDelivery[[#This Row],[delivery_time_min]]&gt;0,tblDelivery[[#This Row],[distance_km]]&gt;0,tblDelivery[[#This Row],[route_length_km]]&gt;=tblDelivery[[#This Row],[distance_km]]*0.99,COUNTIFS(tblDelivery[order_id],tblDelivery[[#This Row],[order_id]])=1),1,0)</f>
        <v>1</v>
      </c>
      <c r="O7" s="8">
        <f>SUBTOTAL(103,tblDelivery[[#This Row],[order_id]])</f>
        <v>1</v>
      </c>
      <c r="P7" s="8" t="str" cm="1">
        <f t="array" ref="P7">_xlfn.IFS(tblDelivery[[#This Row],[distance_km]]&lt;2,"&lt; 2 km",tblDelivery[[#This Row],[distance_km]]&lt;5,"2 to 5 km",tblDelivery[[#This Row],[distance_km]]&lt;10,"5 to 10 km",TRUE,"10 km and above")</f>
        <v>10 km and above</v>
      </c>
      <c r="Q7" s="8" t="str" cm="1">
        <f t="array" ref="Q7">_xlfn.IFS(tblDelivery[[#This Row],[route_length_km]]&lt;2,"&lt;2 km",tblDelivery[[#This Row],[route_length_km]]&lt;5,"2 to 5 km",tblDelivery[[#This Row],[route_length_km]]&lt;10,"5 to 10 km",TRUE,"10 km and above")</f>
        <v>10 km and above</v>
      </c>
      <c r="T7" s="8"/>
    </row>
    <row r="8" spans="1:20" x14ac:dyDescent="0.25">
      <c r="A8" s="6">
        <v>7</v>
      </c>
      <c r="B8" s="2">
        <v>9.6</v>
      </c>
      <c r="C8" s="8">
        <v>54.4</v>
      </c>
      <c r="D8" s="3" t="s">
        <v>22</v>
      </c>
      <c r="E8" s="2">
        <v>13.32</v>
      </c>
      <c r="F8" t="s">
        <v>19</v>
      </c>
      <c r="G8" t="s">
        <v>24</v>
      </c>
      <c r="H8" s="1">
        <v>45660.020138888889</v>
      </c>
      <c r="I8" t="s">
        <v>21</v>
      </c>
      <c r="J8" t="s">
        <v>14</v>
      </c>
      <c r="K8" s="10">
        <f>INT(tblDelivery[[#This Row],[order_time]])</f>
        <v>45660</v>
      </c>
      <c r="L8" s="8">
        <f>HOUR(tblDelivery[[#This Row],[order_time]])</f>
        <v>0</v>
      </c>
      <c r="M8">
        <f>IF(tblDelivery[[#This Row],[delivery_time_min]]&lt;=Time_Target,1,0)</f>
        <v>0</v>
      </c>
      <c r="N8" s="8">
        <f>IF(AND(COUNTBLANK(tblDelivery[[#This Row],[order_id]:[customer_zone]])=0,tblDelivery[[#This Row],[delivery_time_min]]&gt;0,tblDelivery[[#This Row],[distance_km]]&gt;0,tblDelivery[[#This Row],[route_length_km]]&gt;=tblDelivery[[#This Row],[distance_km]]*0.99,COUNTIFS(tblDelivery[order_id],tblDelivery[[#This Row],[order_id]])=1),1,0)</f>
        <v>1</v>
      </c>
      <c r="O8" s="8">
        <f>SUBTOTAL(103,tblDelivery[[#This Row],[order_id]])</f>
        <v>1</v>
      </c>
      <c r="P8" s="8" t="str" cm="1">
        <f t="array" ref="P8">_xlfn.IFS(tblDelivery[[#This Row],[distance_km]]&lt;2,"&lt; 2 km",tblDelivery[[#This Row],[distance_km]]&lt;5,"2 to 5 km",tblDelivery[[#This Row],[distance_km]]&lt;10,"5 to 10 km",TRUE,"10 km and above")</f>
        <v>5 to 10 km</v>
      </c>
      <c r="Q8" s="8" t="str" cm="1">
        <f t="array" ref="Q8">_xlfn.IFS(tblDelivery[[#This Row],[route_length_km]]&lt;2,"&lt;2 km",tblDelivery[[#This Row],[route_length_km]]&lt;5,"2 to 5 km",tblDelivery[[#This Row],[route_length_km]]&lt;10,"5 to 10 km",TRUE,"10 km and above")</f>
        <v>10 km and above</v>
      </c>
      <c r="T8" s="8"/>
    </row>
    <row r="9" spans="1:20" x14ac:dyDescent="0.25">
      <c r="A9" s="6">
        <v>8</v>
      </c>
      <c r="B9" s="2">
        <v>6.24</v>
      </c>
      <c r="C9" s="8">
        <v>52.9</v>
      </c>
      <c r="D9" s="3" t="s">
        <v>22</v>
      </c>
      <c r="E9" s="2">
        <v>8.41</v>
      </c>
      <c r="F9" t="s">
        <v>19</v>
      </c>
      <c r="G9" t="s">
        <v>16</v>
      </c>
      <c r="H9" s="1">
        <v>45659.9</v>
      </c>
      <c r="I9" t="s">
        <v>13</v>
      </c>
      <c r="J9" t="s">
        <v>21</v>
      </c>
      <c r="K9" s="10">
        <f>INT(tblDelivery[[#This Row],[order_time]])</f>
        <v>45659</v>
      </c>
      <c r="L9" s="8">
        <f>HOUR(tblDelivery[[#This Row],[order_time]])</f>
        <v>21</v>
      </c>
      <c r="M9">
        <f>IF(tblDelivery[[#This Row],[delivery_time_min]]&lt;=Time_Target,1,0)</f>
        <v>0</v>
      </c>
      <c r="N9" s="8">
        <f>IF(AND(COUNTBLANK(tblDelivery[[#This Row],[order_id]:[customer_zone]])=0,tblDelivery[[#This Row],[delivery_time_min]]&gt;0,tblDelivery[[#This Row],[distance_km]]&gt;0,tblDelivery[[#This Row],[route_length_km]]&gt;=tblDelivery[[#This Row],[distance_km]]*0.99,COUNTIFS(tblDelivery[order_id],tblDelivery[[#This Row],[order_id]])=1),1,0)</f>
        <v>1</v>
      </c>
      <c r="O9" s="8">
        <f>SUBTOTAL(103,tblDelivery[[#This Row],[order_id]])</f>
        <v>1</v>
      </c>
      <c r="P9" s="8" t="str" cm="1">
        <f t="array" ref="P9">_xlfn.IFS(tblDelivery[[#This Row],[distance_km]]&lt;2,"&lt; 2 km",tblDelivery[[#This Row],[distance_km]]&lt;5,"2 to 5 km",tblDelivery[[#This Row],[distance_km]]&lt;10,"5 to 10 km",TRUE,"10 km and above")</f>
        <v>5 to 10 km</v>
      </c>
      <c r="Q9" s="8" t="str" cm="1">
        <f t="array" ref="Q9">_xlfn.IFS(tblDelivery[[#This Row],[route_length_km]]&lt;2,"&lt;2 km",tblDelivery[[#This Row],[route_length_km]]&lt;5,"2 to 5 km",tblDelivery[[#This Row],[route_length_km]]&lt;10,"5 to 10 km",TRUE,"10 km and above")</f>
        <v>5 to 10 km</v>
      </c>
      <c r="T9" s="8"/>
    </row>
    <row r="10" spans="1:20" x14ac:dyDescent="0.25">
      <c r="A10" s="6">
        <v>9</v>
      </c>
      <c r="B10" s="2">
        <v>9.98</v>
      </c>
      <c r="C10" s="8">
        <v>81.400000000000006</v>
      </c>
      <c r="D10" s="3" t="s">
        <v>18</v>
      </c>
      <c r="E10" s="2">
        <v>14.87</v>
      </c>
      <c r="F10" t="s">
        <v>11</v>
      </c>
      <c r="G10" t="s">
        <v>20</v>
      </c>
      <c r="H10" s="1">
        <v>45658.34652777778</v>
      </c>
      <c r="I10" t="s">
        <v>21</v>
      </c>
      <c r="J10" t="s">
        <v>17</v>
      </c>
      <c r="K10" s="10">
        <f>INT(tblDelivery[[#This Row],[order_time]])</f>
        <v>45658</v>
      </c>
      <c r="L10" s="8">
        <f>HOUR(tblDelivery[[#This Row],[order_time]])</f>
        <v>8</v>
      </c>
      <c r="M10">
        <f>IF(tblDelivery[[#This Row],[delivery_time_min]]&lt;=Time_Target,1,0)</f>
        <v>0</v>
      </c>
      <c r="N10" s="8">
        <f>IF(AND(COUNTBLANK(tblDelivery[[#This Row],[order_id]:[customer_zone]])=0,tblDelivery[[#This Row],[delivery_time_min]]&gt;0,tblDelivery[[#This Row],[distance_km]]&gt;0,tblDelivery[[#This Row],[route_length_km]]&gt;=tblDelivery[[#This Row],[distance_km]]*0.99,COUNTIFS(tblDelivery[order_id],tblDelivery[[#This Row],[order_id]])=1),1,0)</f>
        <v>1</v>
      </c>
      <c r="O10" s="8">
        <f>SUBTOTAL(103,tblDelivery[[#This Row],[order_id]])</f>
        <v>1</v>
      </c>
      <c r="P10" s="8" t="str" cm="1">
        <f t="array" ref="P10">_xlfn.IFS(tblDelivery[[#This Row],[distance_km]]&lt;2,"&lt; 2 km",tblDelivery[[#This Row],[distance_km]]&lt;5,"2 to 5 km",tblDelivery[[#This Row],[distance_km]]&lt;10,"5 to 10 km",TRUE,"10 km and above")</f>
        <v>5 to 10 km</v>
      </c>
      <c r="Q10" s="8" t="str" cm="1">
        <f t="array" ref="Q10">_xlfn.IFS(tblDelivery[[#This Row],[route_length_km]]&lt;2,"&lt;2 km",tblDelivery[[#This Row],[route_length_km]]&lt;5,"2 to 5 km",tblDelivery[[#This Row],[route_length_km]]&lt;10,"5 to 10 km",TRUE,"10 km and above")</f>
        <v>10 km and above</v>
      </c>
      <c r="T10" s="8"/>
    </row>
    <row r="11" spans="1:20" x14ac:dyDescent="0.25">
      <c r="A11" s="6">
        <v>10</v>
      </c>
      <c r="B11" s="2">
        <v>2.48</v>
      </c>
      <c r="C11" s="8">
        <v>17.100000000000001</v>
      </c>
      <c r="D11" s="3" t="s">
        <v>10</v>
      </c>
      <c r="E11" s="2">
        <v>3.38</v>
      </c>
      <c r="F11" t="s">
        <v>15</v>
      </c>
      <c r="G11" t="s">
        <v>24</v>
      </c>
      <c r="H11" s="1">
        <v>45658.394444444442</v>
      </c>
      <c r="I11" t="s">
        <v>13</v>
      </c>
      <c r="J11" t="s">
        <v>14</v>
      </c>
      <c r="K11" s="10">
        <f>INT(tblDelivery[[#This Row],[order_time]])</f>
        <v>45658</v>
      </c>
      <c r="L11" s="8">
        <f>HOUR(tblDelivery[[#This Row],[order_time]])</f>
        <v>9</v>
      </c>
      <c r="M11">
        <f>IF(tblDelivery[[#This Row],[delivery_time_min]]&lt;=Time_Target,1,0)</f>
        <v>1</v>
      </c>
      <c r="N11" s="8">
        <f>IF(AND(COUNTBLANK(tblDelivery[[#This Row],[order_id]:[customer_zone]])=0,tblDelivery[[#This Row],[delivery_time_min]]&gt;0,tblDelivery[[#This Row],[distance_km]]&gt;0,tblDelivery[[#This Row],[route_length_km]]&gt;=tblDelivery[[#This Row],[distance_km]]*0.99,COUNTIFS(tblDelivery[order_id],tblDelivery[[#This Row],[order_id]])=1),1,0)</f>
        <v>1</v>
      </c>
      <c r="O11" s="8">
        <f>SUBTOTAL(103,tblDelivery[[#This Row],[order_id]])</f>
        <v>1</v>
      </c>
      <c r="P11" s="8" t="str" cm="1">
        <f t="array" ref="P11">_xlfn.IFS(tblDelivery[[#This Row],[distance_km]]&lt;2,"&lt; 2 km",tblDelivery[[#This Row],[distance_km]]&lt;5,"2 to 5 km",tblDelivery[[#This Row],[distance_km]]&lt;10,"5 to 10 km",TRUE,"10 km and above")</f>
        <v>2 to 5 km</v>
      </c>
      <c r="Q11" s="8" t="str" cm="1">
        <f t="array" ref="Q11">_xlfn.IFS(tblDelivery[[#This Row],[route_length_km]]&lt;2,"&lt;2 km",tblDelivery[[#This Row],[route_length_km]]&lt;5,"2 to 5 km",tblDelivery[[#This Row],[route_length_km]]&lt;10,"5 to 10 km",TRUE,"10 km and above")</f>
        <v>2 to 5 km</v>
      </c>
      <c r="T11" s="8"/>
    </row>
    <row r="12" spans="1:20" x14ac:dyDescent="0.25">
      <c r="A12" s="6">
        <v>11</v>
      </c>
      <c r="B12" s="2">
        <v>7.23</v>
      </c>
      <c r="C12" s="8">
        <v>47.7</v>
      </c>
      <c r="D12" s="3" t="s">
        <v>18</v>
      </c>
      <c r="E12" s="2">
        <v>7.63</v>
      </c>
      <c r="F12" t="s">
        <v>19</v>
      </c>
      <c r="G12" t="s">
        <v>20</v>
      </c>
      <c r="H12" s="1">
        <v>45660.64166666667</v>
      </c>
      <c r="I12" t="s">
        <v>17</v>
      </c>
      <c r="J12" t="s">
        <v>21</v>
      </c>
      <c r="K12" s="10">
        <f>INT(tblDelivery[[#This Row],[order_time]])</f>
        <v>45660</v>
      </c>
      <c r="L12" s="8">
        <f>HOUR(tblDelivery[[#This Row],[order_time]])</f>
        <v>15</v>
      </c>
      <c r="M12">
        <f>IF(tblDelivery[[#This Row],[delivery_time_min]]&lt;=Time_Target,1,0)</f>
        <v>0</v>
      </c>
      <c r="N12" s="8">
        <f>IF(AND(COUNTBLANK(tblDelivery[[#This Row],[order_id]:[customer_zone]])=0,tblDelivery[[#This Row],[delivery_time_min]]&gt;0,tblDelivery[[#This Row],[distance_km]]&gt;0,tblDelivery[[#This Row],[route_length_km]]&gt;=tblDelivery[[#This Row],[distance_km]]*0.99,COUNTIFS(tblDelivery[order_id],tblDelivery[[#This Row],[order_id]])=1),1,0)</f>
        <v>1</v>
      </c>
      <c r="O12" s="8">
        <f>SUBTOTAL(103,tblDelivery[[#This Row],[order_id]])</f>
        <v>1</v>
      </c>
      <c r="P12" s="8" t="str" cm="1">
        <f t="array" ref="P12">_xlfn.IFS(tblDelivery[[#This Row],[distance_km]]&lt;2,"&lt; 2 km",tblDelivery[[#This Row],[distance_km]]&lt;5,"2 to 5 km",tblDelivery[[#This Row],[distance_km]]&lt;10,"5 to 10 km",TRUE,"10 km and above")</f>
        <v>5 to 10 km</v>
      </c>
      <c r="Q12" s="8" t="str" cm="1">
        <f t="array" ref="Q12">_xlfn.IFS(tblDelivery[[#This Row],[route_length_km]]&lt;2,"&lt;2 km",tblDelivery[[#This Row],[route_length_km]]&lt;5,"2 to 5 km",tblDelivery[[#This Row],[route_length_km]]&lt;10,"5 to 10 km",TRUE,"10 km and above")</f>
        <v>5 to 10 km</v>
      </c>
      <c r="T12" s="8"/>
    </row>
    <row r="13" spans="1:20" x14ac:dyDescent="0.25">
      <c r="A13" s="6">
        <v>12</v>
      </c>
      <c r="B13" s="2">
        <v>6.65</v>
      </c>
      <c r="C13" s="8">
        <v>27.8</v>
      </c>
      <c r="D13" s="3" t="s">
        <v>10</v>
      </c>
      <c r="E13" s="2">
        <v>6.69</v>
      </c>
      <c r="F13" t="s">
        <v>19</v>
      </c>
      <c r="G13" t="s">
        <v>20</v>
      </c>
      <c r="H13" s="1">
        <v>45660.282638888886</v>
      </c>
      <c r="I13" t="s">
        <v>21</v>
      </c>
      <c r="J13" t="s">
        <v>17</v>
      </c>
      <c r="K13" s="10">
        <f>INT(tblDelivery[[#This Row],[order_time]])</f>
        <v>45660</v>
      </c>
      <c r="L13" s="8">
        <f>HOUR(tblDelivery[[#This Row],[order_time]])</f>
        <v>6</v>
      </c>
      <c r="M13">
        <f>IF(tblDelivery[[#This Row],[delivery_time_min]]&lt;=Time_Target,1,0)</f>
        <v>1</v>
      </c>
      <c r="N13" s="8">
        <f>IF(AND(COUNTBLANK(tblDelivery[[#This Row],[order_id]:[customer_zone]])=0,tblDelivery[[#This Row],[delivery_time_min]]&gt;0,tblDelivery[[#This Row],[distance_km]]&gt;0,tblDelivery[[#This Row],[route_length_km]]&gt;=tblDelivery[[#This Row],[distance_km]]*0.99,COUNTIFS(tblDelivery[order_id],tblDelivery[[#This Row],[order_id]])=1),1,0)</f>
        <v>1</v>
      </c>
      <c r="O13" s="8">
        <f>SUBTOTAL(103,tblDelivery[[#This Row],[order_id]])</f>
        <v>1</v>
      </c>
      <c r="P13" s="8" t="str" cm="1">
        <f t="array" ref="P13">_xlfn.IFS(tblDelivery[[#This Row],[distance_km]]&lt;2,"&lt; 2 km",tblDelivery[[#This Row],[distance_km]]&lt;5,"2 to 5 km",tblDelivery[[#This Row],[distance_km]]&lt;10,"5 to 10 km",TRUE,"10 km and above")</f>
        <v>5 to 10 km</v>
      </c>
      <c r="Q13" s="8" t="str" cm="1">
        <f t="array" ref="Q13">_xlfn.IFS(tblDelivery[[#This Row],[route_length_km]]&lt;2,"&lt;2 km",tblDelivery[[#This Row],[route_length_km]]&lt;5,"2 to 5 km",tblDelivery[[#This Row],[route_length_km]]&lt;10,"5 to 10 km",TRUE,"10 km and above")</f>
        <v>5 to 10 km</v>
      </c>
      <c r="T13" s="8"/>
    </row>
    <row r="14" spans="1:20" x14ac:dyDescent="0.25">
      <c r="A14" s="6">
        <v>13</v>
      </c>
      <c r="B14" s="2">
        <v>11.42</v>
      </c>
      <c r="C14" s="8">
        <v>83.4</v>
      </c>
      <c r="D14" s="3" t="s">
        <v>18</v>
      </c>
      <c r="E14" s="2">
        <v>13.97</v>
      </c>
      <c r="F14" t="s">
        <v>15</v>
      </c>
      <c r="G14" t="s">
        <v>20</v>
      </c>
      <c r="H14" s="1">
        <v>45660.224999999999</v>
      </c>
      <c r="I14" t="s">
        <v>21</v>
      </c>
      <c r="J14" t="s">
        <v>13</v>
      </c>
      <c r="K14" s="10">
        <f>INT(tblDelivery[[#This Row],[order_time]])</f>
        <v>45660</v>
      </c>
      <c r="L14" s="8">
        <f>HOUR(tblDelivery[[#This Row],[order_time]])</f>
        <v>5</v>
      </c>
      <c r="M14">
        <f>IF(tblDelivery[[#This Row],[delivery_time_min]]&lt;=Time_Target,1,0)</f>
        <v>0</v>
      </c>
      <c r="N14" s="8">
        <f>IF(AND(COUNTBLANK(tblDelivery[[#This Row],[order_id]:[customer_zone]])=0,tblDelivery[[#This Row],[delivery_time_min]]&gt;0,tblDelivery[[#This Row],[distance_km]]&gt;0,tblDelivery[[#This Row],[route_length_km]]&gt;=tblDelivery[[#This Row],[distance_km]]*0.99,COUNTIFS(tblDelivery[order_id],tblDelivery[[#This Row],[order_id]])=1),1,0)</f>
        <v>1</v>
      </c>
      <c r="O14" s="8">
        <f>SUBTOTAL(103,tblDelivery[[#This Row],[order_id]])</f>
        <v>1</v>
      </c>
      <c r="P14" s="8" t="str" cm="1">
        <f t="array" ref="P14">_xlfn.IFS(tblDelivery[[#This Row],[distance_km]]&lt;2,"&lt; 2 km",tblDelivery[[#This Row],[distance_km]]&lt;5,"2 to 5 km",tblDelivery[[#This Row],[distance_km]]&lt;10,"5 to 10 km",TRUE,"10 km and above")</f>
        <v>10 km and above</v>
      </c>
      <c r="Q14" s="8" t="str" cm="1">
        <f t="array" ref="Q14">_xlfn.IFS(tblDelivery[[#This Row],[route_length_km]]&lt;2,"&lt;2 km",tblDelivery[[#This Row],[route_length_km]]&lt;5,"2 to 5 km",tblDelivery[[#This Row],[route_length_km]]&lt;10,"5 to 10 km",TRUE,"10 km and above")</f>
        <v>10 km and above</v>
      </c>
      <c r="T14" s="8"/>
    </row>
    <row r="15" spans="1:20" x14ac:dyDescent="0.25">
      <c r="A15" s="6">
        <v>14</v>
      </c>
      <c r="B15" s="2">
        <v>1.26</v>
      </c>
      <c r="C15" s="8">
        <v>9.9</v>
      </c>
      <c r="D15" s="3" t="s">
        <v>22</v>
      </c>
      <c r="E15" s="2">
        <v>1.55</v>
      </c>
      <c r="F15" t="s">
        <v>11</v>
      </c>
      <c r="G15" t="s">
        <v>24</v>
      </c>
      <c r="H15" s="1">
        <v>45660.775694444441</v>
      </c>
      <c r="I15" t="s">
        <v>13</v>
      </c>
      <c r="J15" t="s">
        <v>14</v>
      </c>
      <c r="K15" s="10">
        <f>INT(tblDelivery[[#This Row],[order_time]])</f>
        <v>45660</v>
      </c>
      <c r="L15" s="8">
        <f>HOUR(tblDelivery[[#This Row],[order_time]])</f>
        <v>18</v>
      </c>
      <c r="M15">
        <f>IF(tblDelivery[[#This Row],[delivery_time_min]]&lt;=Time_Target,1,0)</f>
        <v>1</v>
      </c>
      <c r="N15" s="8">
        <f>IF(AND(COUNTBLANK(tblDelivery[[#This Row],[order_id]:[customer_zone]])=0,tblDelivery[[#This Row],[delivery_time_min]]&gt;0,tblDelivery[[#This Row],[distance_km]]&gt;0,tblDelivery[[#This Row],[route_length_km]]&gt;=tblDelivery[[#This Row],[distance_km]]*0.99,COUNTIFS(tblDelivery[order_id],tblDelivery[[#This Row],[order_id]])=1),1,0)</f>
        <v>1</v>
      </c>
      <c r="O15" s="8">
        <f>SUBTOTAL(103,tblDelivery[[#This Row],[order_id]])</f>
        <v>1</v>
      </c>
      <c r="P15" s="8" t="str" cm="1">
        <f t="array" ref="P15">_xlfn.IFS(tblDelivery[[#This Row],[distance_km]]&lt;2,"&lt; 2 km",tblDelivery[[#This Row],[distance_km]]&lt;5,"2 to 5 km",tblDelivery[[#This Row],[distance_km]]&lt;10,"5 to 10 km",TRUE,"10 km and above")</f>
        <v>&lt; 2 km</v>
      </c>
      <c r="Q15" s="8" t="str" cm="1">
        <f t="array" ref="Q15">_xlfn.IFS(tblDelivery[[#This Row],[route_length_km]]&lt;2,"&lt;2 km",tblDelivery[[#This Row],[route_length_km]]&lt;5,"2 to 5 km",tblDelivery[[#This Row],[route_length_km]]&lt;10,"5 to 10 km",TRUE,"10 km and above")</f>
        <v>&lt;2 km</v>
      </c>
      <c r="T15" s="8"/>
    </row>
    <row r="16" spans="1:20" x14ac:dyDescent="0.25">
      <c r="A16" s="6">
        <v>15</v>
      </c>
      <c r="B16" s="2">
        <v>9.8800000000000008</v>
      </c>
      <c r="C16" s="8">
        <v>56.6</v>
      </c>
      <c r="D16" s="3" t="s">
        <v>18</v>
      </c>
      <c r="E16" s="2">
        <v>12.45</v>
      </c>
      <c r="F16" t="s">
        <v>19</v>
      </c>
      <c r="G16" t="s">
        <v>16</v>
      </c>
      <c r="H16" s="1">
        <v>45660.175000000003</v>
      </c>
      <c r="I16" t="s">
        <v>14</v>
      </c>
      <c r="J16" t="s">
        <v>21</v>
      </c>
      <c r="K16" s="10">
        <f>INT(tblDelivery[[#This Row],[order_time]])</f>
        <v>45660</v>
      </c>
      <c r="L16" s="8">
        <f>HOUR(tblDelivery[[#This Row],[order_time]])</f>
        <v>4</v>
      </c>
      <c r="M16">
        <f>IF(tblDelivery[[#This Row],[delivery_time_min]]&lt;=Time_Target,1,0)</f>
        <v>0</v>
      </c>
      <c r="N16" s="8">
        <f>IF(AND(COUNTBLANK(tblDelivery[[#This Row],[order_id]:[customer_zone]])=0,tblDelivery[[#This Row],[delivery_time_min]]&gt;0,tblDelivery[[#This Row],[distance_km]]&gt;0,tblDelivery[[#This Row],[route_length_km]]&gt;=tblDelivery[[#This Row],[distance_km]]*0.99,COUNTIFS(tblDelivery[order_id],tblDelivery[[#This Row],[order_id]])=1),1,0)</f>
        <v>1</v>
      </c>
      <c r="O16" s="8">
        <f>SUBTOTAL(103,tblDelivery[[#This Row],[order_id]])</f>
        <v>1</v>
      </c>
      <c r="P16" s="8" t="str" cm="1">
        <f t="array" ref="P16">_xlfn.IFS(tblDelivery[[#This Row],[distance_km]]&lt;2,"&lt; 2 km",tblDelivery[[#This Row],[distance_km]]&lt;5,"2 to 5 km",tblDelivery[[#This Row],[distance_km]]&lt;10,"5 to 10 km",TRUE,"10 km and above")</f>
        <v>5 to 10 km</v>
      </c>
      <c r="Q16" s="8" t="str" cm="1">
        <f t="array" ref="Q16">_xlfn.IFS(tblDelivery[[#This Row],[route_length_km]]&lt;2,"&lt;2 km",tblDelivery[[#This Row],[route_length_km]]&lt;5,"2 to 5 km",tblDelivery[[#This Row],[route_length_km]]&lt;10,"5 to 10 km",TRUE,"10 km and above")</f>
        <v>10 km and above</v>
      </c>
      <c r="T16" s="8"/>
    </row>
    <row r="17" spans="1:20" x14ac:dyDescent="0.25">
      <c r="A17" s="6">
        <v>16</v>
      </c>
      <c r="B17" s="2">
        <v>4.6900000000000004</v>
      </c>
      <c r="C17" s="8">
        <v>23.2</v>
      </c>
      <c r="D17" s="3" t="s">
        <v>22</v>
      </c>
      <c r="E17" s="2">
        <v>4.8600000000000003</v>
      </c>
      <c r="F17" t="s">
        <v>23</v>
      </c>
      <c r="G17" t="s">
        <v>12</v>
      </c>
      <c r="H17" s="1">
        <v>45661.177777777775</v>
      </c>
      <c r="I17" t="s">
        <v>14</v>
      </c>
      <c r="J17" t="s">
        <v>14</v>
      </c>
      <c r="K17" s="10">
        <f>INT(tblDelivery[[#This Row],[order_time]])</f>
        <v>45661</v>
      </c>
      <c r="L17" s="8">
        <f>HOUR(tblDelivery[[#This Row],[order_time]])</f>
        <v>4</v>
      </c>
      <c r="M17">
        <f>IF(tblDelivery[[#This Row],[delivery_time_min]]&lt;=Time_Target,1,0)</f>
        <v>1</v>
      </c>
      <c r="N17" s="8">
        <f>IF(AND(COUNTBLANK(tblDelivery[[#This Row],[order_id]:[customer_zone]])=0,tblDelivery[[#This Row],[delivery_time_min]]&gt;0,tblDelivery[[#This Row],[distance_km]]&gt;0,tblDelivery[[#This Row],[route_length_km]]&gt;=tblDelivery[[#This Row],[distance_km]]*0.99,COUNTIFS(tblDelivery[order_id],tblDelivery[[#This Row],[order_id]])=1),1,0)</f>
        <v>1</v>
      </c>
      <c r="O17" s="8">
        <f>SUBTOTAL(103,tblDelivery[[#This Row],[order_id]])</f>
        <v>1</v>
      </c>
      <c r="P17" s="8" t="str" cm="1">
        <f t="array" ref="P17">_xlfn.IFS(tblDelivery[[#This Row],[distance_km]]&lt;2,"&lt; 2 km",tblDelivery[[#This Row],[distance_km]]&lt;5,"2 to 5 km",tblDelivery[[#This Row],[distance_km]]&lt;10,"5 to 10 km",TRUE,"10 km and above")</f>
        <v>2 to 5 km</v>
      </c>
      <c r="Q17" s="8" t="str" cm="1">
        <f t="array" ref="Q17">_xlfn.IFS(tblDelivery[[#This Row],[route_length_km]]&lt;2,"&lt;2 km",tblDelivery[[#This Row],[route_length_km]]&lt;5,"2 to 5 km",tblDelivery[[#This Row],[route_length_km]]&lt;10,"5 to 10 km",TRUE,"10 km and above")</f>
        <v>2 to 5 km</v>
      </c>
      <c r="T17" s="8"/>
    </row>
    <row r="18" spans="1:20" x14ac:dyDescent="0.25">
      <c r="A18" s="6">
        <v>17</v>
      </c>
      <c r="B18" s="2">
        <v>7.27</v>
      </c>
      <c r="C18" s="8">
        <v>34.9</v>
      </c>
      <c r="D18" s="3" t="s">
        <v>10</v>
      </c>
      <c r="E18" s="2">
        <v>8.66</v>
      </c>
      <c r="F18" t="s">
        <v>23</v>
      </c>
      <c r="G18" t="s">
        <v>16</v>
      </c>
      <c r="H18" s="1">
        <v>45660.609722222223</v>
      </c>
      <c r="I18" t="s">
        <v>21</v>
      </c>
      <c r="J18" t="s">
        <v>17</v>
      </c>
      <c r="K18" s="10">
        <f>INT(tblDelivery[[#This Row],[order_time]])</f>
        <v>45660</v>
      </c>
      <c r="L18" s="8">
        <f>HOUR(tblDelivery[[#This Row],[order_time]])</f>
        <v>14</v>
      </c>
      <c r="M18">
        <f>IF(tblDelivery[[#This Row],[delivery_time_min]]&lt;=Time_Target,1,0)</f>
        <v>1</v>
      </c>
      <c r="N18" s="8">
        <f>IF(AND(COUNTBLANK(tblDelivery[[#This Row],[order_id]:[customer_zone]])=0,tblDelivery[[#This Row],[delivery_time_min]]&gt;0,tblDelivery[[#This Row],[distance_km]]&gt;0,tblDelivery[[#This Row],[route_length_km]]&gt;=tblDelivery[[#This Row],[distance_km]]*0.99,COUNTIFS(tblDelivery[order_id],tblDelivery[[#This Row],[order_id]])=1),1,0)</f>
        <v>1</v>
      </c>
      <c r="O18" s="8">
        <f>SUBTOTAL(103,tblDelivery[[#This Row],[order_id]])</f>
        <v>1</v>
      </c>
      <c r="P18" s="8" t="str" cm="1">
        <f t="array" ref="P18">_xlfn.IFS(tblDelivery[[#This Row],[distance_km]]&lt;2,"&lt; 2 km",tblDelivery[[#This Row],[distance_km]]&lt;5,"2 to 5 km",tblDelivery[[#This Row],[distance_km]]&lt;10,"5 to 10 km",TRUE,"10 km and above")</f>
        <v>5 to 10 km</v>
      </c>
      <c r="Q18" s="8" t="str" cm="1">
        <f t="array" ref="Q18">_xlfn.IFS(tblDelivery[[#This Row],[route_length_km]]&lt;2,"&lt;2 km",tblDelivery[[#This Row],[route_length_km]]&lt;5,"2 to 5 km",tblDelivery[[#This Row],[route_length_km]]&lt;10,"5 to 10 km",TRUE,"10 km and above")</f>
        <v>5 to 10 km</v>
      </c>
      <c r="T18" s="8"/>
    </row>
    <row r="19" spans="1:20" x14ac:dyDescent="0.25">
      <c r="A19" s="6">
        <v>18</v>
      </c>
      <c r="B19" s="2">
        <v>10.19</v>
      </c>
      <c r="C19" s="8">
        <v>60.2</v>
      </c>
      <c r="D19" s="3" t="s">
        <v>10</v>
      </c>
      <c r="E19" s="2">
        <v>10.24</v>
      </c>
      <c r="F19" t="s">
        <v>15</v>
      </c>
      <c r="G19" t="s">
        <v>24</v>
      </c>
      <c r="H19" s="1">
        <v>45660.09097222222</v>
      </c>
      <c r="I19" t="s">
        <v>14</v>
      </c>
      <c r="J19" t="s">
        <v>13</v>
      </c>
      <c r="K19" s="10">
        <f>INT(tblDelivery[[#This Row],[order_time]])</f>
        <v>45660</v>
      </c>
      <c r="L19" s="8">
        <f>HOUR(tblDelivery[[#This Row],[order_time]])</f>
        <v>2</v>
      </c>
      <c r="M19">
        <f>IF(tblDelivery[[#This Row],[delivery_time_min]]&lt;=Time_Target,1,0)</f>
        <v>0</v>
      </c>
      <c r="N19" s="8">
        <f>IF(AND(COUNTBLANK(tblDelivery[[#This Row],[order_id]:[customer_zone]])=0,tblDelivery[[#This Row],[delivery_time_min]]&gt;0,tblDelivery[[#This Row],[distance_km]]&gt;0,tblDelivery[[#This Row],[route_length_km]]&gt;=tblDelivery[[#This Row],[distance_km]]*0.99,COUNTIFS(tblDelivery[order_id],tblDelivery[[#This Row],[order_id]])=1),1,0)</f>
        <v>1</v>
      </c>
      <c r="O19" s="8">
        <f>SUBTOTAL(103,tblDelivery[[#This Row],[order_id]])</f>
        <v>1</v>
      </c>
      <c r="P19" s="8" t="str" cm="1">
        <f t="array" ref="P19">_xlfn.IFS(tblDelivery[[#This Row],[distance_km]]&lt;2,"&lt; 2 km",tblDelivery[[#This Row],[distance_km]]&lt;5,"2 to 5 km",tblDelivery[[#This Row],[distance_km]]&lt;10,"5 to 10 km",TRUE,"10 km and above")</f>
        <v>10 km and above</v>
      </c>
      <c r="Q19" s="8" t="str" cm="1">
        <f t="array" ref="Q19">_xlfn.IFS(tblDelivery[[#This Row],[route_length_km]]&lt;2,"&lt;2 km",tblDelivery[[#This Row],[route_length_km]]&lt;5,"2 to 5 km",tblDelivery[[#This Row],[route_length_km]]&lt;10,"5 to 10 km",TRUE,"10 km and above")</f>
        <v>10 km and above</v>
      </c>
      <c r="T19" s="8"/>
    </row>
    <row r="20" spans="1:20" x14ac:dyDescent="0.25">
      <c r="A20" s="6">
        <v>19</v>
      </c>
      <c r="B20" s="2">
        <v>2.11</v>
      </c>
      <c r="C20" s="8">
        <v>9.1999999999999993</v>
      </c>
      <c r="D20" s="3" t="s">
        <v>18</v>
      </c>
      <c r="E20" s="2">
        <v>2.23</v>
      </c>
      <c r="F20" t="s">
        <v>23</v>
      </c>
      <c r="G20" t="s">
        <v>20</v>
      </c>
      <c r="H20" s="1">
        <v>45659.715277777781</v>
      </c>
      <c r="I20" t="s">
        <v>21</v>
      </c>
      <c r="J20" t="s">
        <v>14</v>
      </c>
      <c r="K20" s="10">
        <f>INT(tblDelivery[[#This Row],[order_time]])</f>
        <v>45659</v>
      </c>
      <c r="L20" s="8">
        <f>HOUR(tblDelivery[[#This Row],[order_time]])</f>
        <v>17</v>
      </c>
      <c r="M20">
        <f>IF(tblDelivery[[#This Row],[delivery_time_min]]&lt;=Time_Target,1,0)</f>
        <v>1</v>
      </c>
      <c r="N20" s="8">
        <f>IF(AND(COUNTBLANK(tblDelivery[[#This Row],[order_id]:[customer_zone]])=0,tblDelivery[[#This Row],[delivery_time_min]]&gt;0,tblDelivery[[#This Row],[distance_km]]&gt;0,tblDelivery[[#This Row],[route_length_km]]&gt;=tblDelivery[[#This Row],[distance_km]]*0.99,COUNTIFS(tblDelivery[order_id],tblDelivery[[#This Row],[order_id]])=1),1,0)</f>
        <v>1</v>
      </c>
      <c r="O20" s="8">
        <f>SUBTOTAL(103,tblDelivery[[#This Row],[order_id]])</f>
        <v>1</v>
      </c>
      <c r="P20" s="8" t="str" cm="1">
        <f t="array" ref="P20">_xlfn.IFS(tblDelivery[[#This Row],[distance_km]]&lt;2,"&lt; 2 km",tblDelivery[[#This Row],[distance_km]]&lt;5,"2 to 5 km",tblDelivery[[#This Row],[distance_km]]&lt;10,"5 to 10 km",TRUE,"10 km and above")</f>
        <v>2 to 5 km</v>
      </c>
      <c r="Q20" s="8" t="str" cm="1">
        <f t="array" ref="Q20">_xlfn.IFS(tblDelivery[[#This Row],[route_length_km]]&lt;2,"&lt;2 km",tblDelivery[[#This Row],[route_length_km]]&lt;5,"2 to 5 km",tblDelivery[[#This Row],[route_length_km]]&lt;10,"5 to 10 km",TRUE,"10 km and above")</f>
        <v>2 to 5 km</v>
      </c>
      <c r="T20" s="8"/>
    </row>
    <row r="21" spans="1:20" x14ac:dyDescent="0.25">
      <c r="A21" s="6">
        <v>20</v>
      </c>
      <c r="B21" s="2">
        <v>3.12</v>
      </c>
      <c r="C21" s="8">
        <v>18</v>
      </c>
      <c r="D21" s="3" t="s">
        <v>10</v>
      </c>
      <c r="E21" s="2">
        <v>3.41</v>
      </c>
      <c r="F21" t="s">
        <v>11</v>
      </c>
      <c r="G21" t="s">
        <v>24</v>
      </c>
      <c r="H21" s="1">
        <v>45661.349305555559</v>
      </c>
      <c r="I21" t="s">
        <v>13</v>
      </c>
      <c r="J21" t="s">
        <v>21</v>
      </c>
      <c r="K21" s="10">
        <f>INT(tblDelivery[[#This Row],[order_time]])</f>
        <v>45661</v>
      </c>
      <c r="L21" s="8">
        <f>HOUR(tblDelivery[[#This Row],[order_time]])</f>
        <v>8</v>
      </c>
      <c r="M21">
        <f>IF(tblDelivery[[#This Row],[delivery_time_min]]&lt;=Time_Target,1,0)</f>
        <v>1</v>
      </c>
      <c r="N21" s="8">
        <f>IF(AND(COUNTBLANK(tblDelivery[[#This Row],[order_id]:[customer_zone]])=0,tblDelivery[[#This Row],[delivery_time_min]]&gt;0,tblDelivery[[#This Row],[distance_km]]&gt;0,tblDelivery[[#This Row],[route_length_km]]&gt;=tblDelivery[[#This Row],[distance_km]]*0.99,COUNTIFS(tblDelivery[order_id],tblDelivery[[#This Row],[order_id]])=1),1,0)</f>
        <v>1</v>
      </c>
      <c r="O21" s="8">
        <f>SUBTOTAL(103,tblDelivery[[#This Row],[order_id]])</f>
        <v>1</v>
      </c>
      <c r="P21" s="8" t="str" cm="1">
        <f t="array" ref="P21">_xlfn.IFS(tblDelivery[[#This Row],[distance_km]]&lt;2,"&lt; 2 km",tblDelivery[[#This Row],[distance_km]]&lt;5,"2 to 5 km",tblDelivery[[#This Row],[distance_km]]&lt;10,"5 to 10 km",TRUE,"10 km and above")</f>
        <v>2 to 5 km</v>
      </c>
      <c r="Q21" s="8" t="str" cm="1">
        <f t="array" ref="Q21">_xlfn.IFS(tblDelivery[[#This Row],[route_length_km]]&lt;2,"&lt;2 km",tblDelivery[[#This Row],[route_length_km]]&lt;5,"2 to 5 km",tblDelivery[[#This Row],[route_length_km]]&lt;10,"5 to 10 km",TRUE,"10 km and above")</f>
        <v>2 to 5 km</v>
      </c>
      <c r="T21" s="8"/>
    </row>
    <row r="22" spans="1:20" x14ac:dyDescent="0.25">
      <c r="A22" s="6">
        <v>21</v>
      </c>
      <c r="B22" s="2">
        <v>8.2200000000000006</v>
      </c>
      <c r="C22" s="8">
        <v>50.4</v>
      </c>
      <c r="D22" s="3" t="s">
        <v>22</v>
      </c>
      <c r="E22" s="2">
        <v>10.42</v>
      </c>
      <c r="F22" t="s">
        <v>19</v>
      </c>
      <c r="G22" t="s">
        <v>24</v>
      </c>
      <c r="H22" s="1">
        <v>45658.351388888892</v>
      </c>
      <c r="I22" t="s">
        <v>25</v>
      </c>
      <c r="J22" t="s">
        <v>13</v>
      </c>
      <c r="K22" s="10">
        <f>INT(tblDelivery[[#This Row],[order_time]])</f>
        <v>45658</v>
      </c>
      <c r="L22" s="8">
        <f>HOUR(tblDelivery[[#This Row],[order_time]])</f>
        <v>8</v>
      </c>
      <c r="M22">
        <f>IF(tblDelivery[[#This Row],[delivery_time_min]]&lt;=Time_Target,1,0)</f>
        <v>0</v>
      </c>
      <c r="N22" s="8">
        <f>IF(AND(COUNTBLANK(tblDelivery[[#This Row],[order_id]:[customer_zone]])=0,tblDelivery[[#This Row],[delivery_time_min]]&gt;0,tblDelivery[[#This Row],[distance_km]]&gt;0,tblDelivery[[#This Row],[route_length_km]]&gt;=tblDelivery[[#This Row],[distance_km]]*0.99,COUNTIFS(tblDelivery[order_id],tblDelivery[[#This Row],[order_id]])=1),1,0)</f>
        <v>1</v>
      </c>
      <c r="O22" s="8">
        <f>SUBTOTAL(103,tblDelivery[[#This Row],[order_id]])</f>
        <v>1</v>
      </c>
      <c r="P22" s="8" t="str" cm="1">
        <f t="array" ref="P22">_xlfn.IFS(tblDelivery[[#This Row],[distance_km]]&lt;2,"&lt; 2 km",tblDelivery[[#This Row],[distance_km]]&lt;5,"2 to 5 km",tblDelivery[[#This Row],[distance_km]]&lt;10,"5 to 10 km",TRUE,"10 km and above")</f>
        <v>5 to 10 km</v>
      </c>
      <c r="Q22" s="8" t="str" cm="1">
        <f t="array" ref="Q22">_xlfn.IFS(tblDelivery[[#This Row],[route_length_km]]&lt;2,"&lt;2 km",tblDelivery[[#This Row],[route_length_km]]&lt;5,"2 to 5 km",tblDelivery[[#This Row],[route_length_km]]&lt;10,"5 to 10 km",TRUE,"10 km and above")</f>
        <v>10 km and above</v>
      </c>
      <c r="T22" s="8"/>
    </row>
    <row r="23" spans="1:20" x14ac:dyDescent="0.25">
      <c r="A23" s="6">
        <v>22</v>
      </c>
      <c r="B23" s="2">
        <v>8.1300000000000008</v>
      </c>
      <c r="C23" s="8">
        <v>46</v>
      </c>
      <c r="D23" s="3" t="s">
        <v>10</v>
      </c>
      <c r="E23" s="2">
        <v>9.43</v>
      </c>
      <c r="F23" t="s">
        <v>15</v>
      </c>
      <c r="G23" t="s">
        <v>24</v>
      </c>
      <c r="H23" s="1">
        <v>45660.467361111114</v>
      </c>
      <c r="I23" t="s">
        <v>21</v>
      </c>
      <c r="J23" t="s">
        <v>21</v>
      </c>
      <c r="K23" s="10">
        <f>INT(tblDelivery[[#This Row],[order_time]])</f>
        <v>45660</v>
      </c>
      <c r="L23" s="8">
        <f>HOUR(tblDelivery[[#This Row],[order_time]])</f>
        <v>11</v>
      </c>
      <c r="M23">
        <f>IF(tblDelivery[[#This Row],[delivery_time_min]]&lt;=Time_Target,1,0)</f>
        <v>0</v>
      </c>
      <c r="N23" s="8">
        <f>IF(AND(COUNTBLANK(tblDelivery[[#This Row],[order_id]:[customer_zone]])=0,tblDelivery[[#This Row],[delivery_time_min]]&gt;0,tblDelivery[[#This Row],[distance_km]]&gt;0,tblDelivery[[#This Row],[route_length_km]]&gt;=tblDelivery[[#This Row],[distance_km]]*0.99,COUNTIFS(tblDelivery[order_id],tblDelivery[[#This Row],[order_id]])=1),1,0)</f>
        <v>1</v>
      </c>
      <c r="O23" s="8">
        <f>SUBTOTAL(103,tblDelivery[[#This Row],[order_id]])</f>
        <v>1</v>
      </c>
      <c r="P23" s="8" t="str" cm="1">
        <f t="array" ref="P23">_xlfn.IFS(tblDelivery[[#This Row],[distance_km]]&lt;2,"&lt; 2 km",tblDelivery[[#This Row],[distance_km]]&lt;5,"2 to 5 km",tblDelivery[[#This Row],[distance_km]]&lt;10,"5 to 10 km",TRUE,"10 km and above")</f>
        <v>5 to 10 km</v>
      </c>
      <c r="Q23" s="8" t="str" cm="1">
        <f t="array" ref="Q23">_xlfn.IFS(tblDelivery[[#This Row],[route_length_km]]&lt;2,"&lt;2 km",tblDelivery[[#This Row],[route_length_km]]&lt;5,"2 to 5 km",tblDelivery[[#This Row],[route_length_km]]&lt;10,"5 to 10 km",TRUE,"10 km and above")</f>
        <v>5 to 10 km</v>
      </c>
      <c r="T23" s="8"/>
    </row>
    <row r="24" spans="1:20" x14ac:dyDescent="0.25">
      <c r="A24" s="6">
        <v>23</v>
      </c>
      <c r="B24" s="2">
        <v>0.54</v>
      </c>
      <c r="C24" s="8">
        <v>2.4</v>
      </c>
      <c r="D24" s="3" t="s">
        <v>18</v>
      </c>
      <c r="E24" s="2">
        <v>0.57999999999999996</v>
      </c>
      <c r="F24" t="s">
        <v>23</v>
      </c>
      <c r="G24" t="s">
        <v>20</v>
      </c>
      <c r="H24" s="1">
        <v>45659.404861111114</v>
      </c>
      <c r="I24" t="s">
        <v>13</v>
      </c>
      <c r="J24" t="s">
        <v>25</v>
      </c>
      <c r="K24" s="10">
        <f>INT(tblDelivery[[#This Row],[order_time]])</f>
        <v>45659</v>
      </c>
      <c r="L24" s="8">
        <f>HOUR(tblDelivery[[#This Row],[order_time]])</f>
        <v>9</v>
      </c>
      <c r="M24">
        <f>IF(tblDelivery[[#This Row],[delivery_time_min]]&lt;=Time_Target,1,0)</f>
        <v>1</v>
      </c>
      <c r="N24" s="8">
        <f>IF(AND(COUNTBLANK(tblDelivery[[#This Row],[order_id]:[customer_zone]])=0,tblDelivery[[#This Row],[delivery_time_min]]&gt;0,tblDelivery[[#This Row],[distance_km]]&gt;0,tblDelivery[[#This Row],[route_length_km]]&gt;=tblDelivery[[#This Row],[distance_km]]*0.99,COUNTIFS(tblDelivery[order_id],tblDelivery[[#This Row],[order_id]])=1),1,0)</f>
        <v>1</v>
      </c>
      <c r="O24" s="8">
        <f>SUBTOTAL(103,tblDelivery[[#This Row],[order_id]])</f>
        <v>1</v>
      </c>
      <c r="P24" s="8" t="str" cm="1">
        <f t="array" ref="P24">_xlfn.IFS(tblDelivery[[#This Row],[distance_km]]&lt;2,"&lt; 2 km",tblDelivery[[#This Row],[distance_km]]&lt;5,"2 to 5 km",tblDelivery[[#This Row],[distance_km]]&lt;10,"5 to 10 km",TRUE,"10 km and above")</f>
        <v>&lt; 2 km</v>
      </c>
      <c r="Q24" s="8" t="str" cm="1">
        <f t="array" ref="Q24">_xlfn.IFS(tblDelivery[[#This Row],[route_length_km]]&lt;2,"&lt;2 km",tblDelivery[[#This Row],[route_length_km]]&lt;5,"2 to 5 km",tblDelivery[[#This Row],[route_length_km]]&lt;10,"5 to 10 km",TRUE,"10 km and above")</f>
        <v>&lt;2 km</v>
      </c>
      <c r="T24" s="8"/>
    </row>
    <row r="25" spans="1:20" x14ac:dyDescent="0.25">
      <c r="A25" s="6">
        <v>24</v>
      </c>
      <c r="B25" s="2">
        <v>5.15</v>
      </c>
      <c r="C25" s="8">
        <v>33.700000000000003</v>
      </c>
      <c r="D25" s="3" t="s">
        <v>18</v>
      </c>
      <c r="E25" s="2">
        <v>7.3</v>
      </c>
      <c r="F25" t="s">
        <v>11</v>
      </c>
      <c r="G25" t="s">
        <v>24</v>
      </c>
      <c r="H25" s="1">
        <v>45661.790277777778</v>
      </c>
      <c r="I25" t="s">
        <v>13</v>
      </c>
      <c r="J25" t="s">
        <v>17</v>
      </c>
      <c r="K25" s="10">
        <f>INT(tblDelivery[[#This Row],[order_time]])</f>
        <v>45661</v>
      </c>
      <c r="L25" s="8">
        <f>HOUR(tblDelivery[[#This Row],[order_time]])</f>
        <v>18</v>
      </c>
      <c r="M25">
        <f>IF(tblDelivery[[#This Row],[delivery_time_min]]&lt;=Time_Target,1,0)</f>
        <v>1</v>
      </c>
      <c r="N25" s="8">
        <f>IF(AND(COUNTBLANK(tblDelivery[[#This Row],[order_id]:[customer_zone]])=0,tblDelivery[[#This Row],[delivery_time_min]]&gt;0,tblDelivery[[#This Row],[distance_km]]&gt;0,tblDelivery[[#This Row],[route_length_km]]&gt;=tblDelivery[[#This Row],[distance_km]]*0.99,COUNTIFS(tblDelivery[order_id],tblDelivery[[#This Row],[order_id]])=1),1,0)</f>
        <v>1</v>
      </c>
      <c r="O25" s="8">
        <f>SUBTOTAL(103,tblDelivery[[#This Row],[order_id]])</f>
        <v>1</v>
      </c>
      <c r="P25" s="8" t="str" cm="1">
        <f t="array" ref="P25">_xlfn.IFS(tblDelivery[[#This Row],[distance_km]]&lt;2,"&lt; 2 km",tblDelivery[[#This Row],[distance_km]]&lt;5,"2 to 5 km",tblDelivery[[#This Row],[distance_km]]&lt;10,"5 to 10 km",TRUE,"10 km and above")</f>
        <v>5 to 10 km</v>
      </c>
      <c r="Q25" s="8" t="str" cm="1">
        <f t="array" ref="Q25">_xlfn.IFS(tblDelivery[[#This Row],[route_length_km]]&lt;2,"&lt;2 km",tblDelivery[[#This Row],[route_length_km]]&lt;5,"2 to 5 km",tblDelivery[[#This Row],[route_length_km]]&lt;10,"5 to 10 km",TRUE,"10 km and above")</f>
        <v>5 to 10 km</v>
      </c>
      <c r="T25" s="8"/>
    </row>
    <row r="26" spans="1:20" x14ac:dyDescent="0.25">
      <c r="A26" s="6">
        <v>25</v>
      </c>
      <c r="B26" s="2">
        <v>0.53</v>
      </c>
      <c r="C26" s="8">
        <v>2.9</v>
      </c>
      <c r="D26" s="3" t="s">
        <v>22</v>
      </c>
      <c r="E26" s="2">
        <v>0.62</v>
      </c>
      <c r="F26" t="s">
        <v>19</v>
      </c>
      <c r="G26" t="s">
        <v>16</v>
      </c>
      <c r="H26" s="1">
        <v>45661.175000000003</v>
      </c>
      <c r="I26" t="s">
        <v>17</v>
      </c>
      <c r="J26" t="s">
        <v>21</v>
      </c>
      <c r="K26" s="10">
        <f>INT(tblDelivery[[#This Row],[order_time]])</f>
        <v>45661</v>
      </c>
      <c r="L26" s="8">
        <f>HOUR(tblDelivery[[#This Row],[order_time]])</f>
        <v>4</v>
      </c>
      <c r="M26">
        <f>IF(tblDelivery[[#This Row],[delivery_time_min]]&lt;=Time_Target,1,0)</f>
        <v>1</v>
      </c>
      <c r="N26" s="8">
        <f>IF(AND(COUNTBLANK(tblDelivery[[#This Row],[order_id]:[customer_zone]])=0,tblDelivery[[#This Row],[delivery_time_min]]&gt;0,tblDelivery[[#This Row],[distance_km]]&gt;0,tblDelivery[[#This Row],[route_length_km]]&gt;=tblDelivery[[#This Row],[distance_km]]*0.99,COUNTIFS(tblDelivery[order_id],tblDelivery[[#This Row],[order_id]])=1),1,0)</f>
        <v>1</v>
      </c>
      <c r="O26" s="8">
        <f>SUBTOTAL(103,tblDelivery[[#This Row],[order_id]])</f>
        <v>1</v>
      </c>
      <c r="P26" s="8" t="str" cm="1">
        <f t="array" ref="P26">_xlfn.IFS(tblDelivery[[#This Row],[distance_km]]&lt;2,"&lt; 2 km",tblDelivery[[#This Row],[distance_km]]&lt;5,"2 to 5 km",tblDelivery[[#This Row],[distance_km]]&lt;10,"5 to 10 km",TRUE,"10 km and above")</f>
        <v>&lt; 2 km</v>
      </c>
      <c r="Q26" s="8" t="str" cm="1">
        <f t="array" ref="Q26">_xlfn.IFS(tblDelivery[[#This Row],[route_length_km]]&lt;2,"&lt;2 km",tblDelivery[[#This Row],[route_length_km]]&lt;5,"2 to 5 km",tblDelivery[[#This Row],[route_length_km]]&lt;10,"5 to 10 km",TRUE,"10 km and above")</f>
        <v>&lt;2 km</v>
      </c>
      <c r="T26" s="8"/>
    </row>
    <row r="27" spans="1:20" x14ac:dyDescent="0.25">
      <c r="A27" s="6">
        <v>26</v>
      </c>
      <c r="B27" s="2">
        <v>4.2300000000000004</v>
      </c>
      <c r="C27" s="8">
        <v>26.1</v>
      </c>
      <c r="D27" s="3" t="s">
        <v>18</v>
      </c>
      <c r="E27" s="2">
        <v>4.97</v>
      </c>
      <c r="F27" t="s">
        <v>15</v>
      </c>
      <c r="G27" t="s">
        <v>24</v>
      </c>
      <c r="H27" s="1">
        <v>45659.628472222219</v>
      </c>
      <c r="I27" t="s">
        <v>17</v>
      </c>
      <c r="J27" t="s">
        <v>21</v>
      </c>
      <c r="K27" s="10">
        <f>INT(tblDelivery[[#This Row],[order_time]])</f>
        <v>45659</v>
      </c>
      <c r="L27" s="8">
        <f>HOUR(tblDelivery[[#This Row],[order_time]])</f>
        <v>15</v>
      </c>
      <c r="M27">
        <f>IF(tblDelivery[[#This Row],[delivery_time_min]]&lt;=Time_Target,1,0)</f>
        <v>1</v>
      </c>
      <c r="N27" s="8">
        <f>IF(AND(COUNTBLANK(tblDelivery[[#This Row],[order_id]:[customer_zone]])=0,tblDelivery[[#This Row],[delivery_time_min]]&gt;0,tblDelivery[[#This Row],[distance_km]]&gt;0,tblDelivery[[#This Row],[route_length_km]]&gt;=tblDelivery[[#This Row],[distance_km]]*0.99,COUNTIFS(tblDelivery[order_id],tblDelivery[[#This Row],[order_id]])=1),1,0)</f>
        <v>1</v>
      </c>
      <c r="O27" s="8">
        <f>SUBTOTAL(103,tblDelivery[[#This Row],[order_id]])</f>
        <v>1</v>
      </c>
      <c r="P27" s="8" t="str" cm="1">
        <f t="array" ref="P27">_xlfn.IFS(tblDelivery[[#This Row],[distance_km]]&lt;2,"&lt; 2 km",tblDelivery[[#This Row],[distance_km]]&lt;5,"2 to 5 km",tblDelivery[[#This Row],[distance_km]]&lt;10,"5 to 10 km",TRUE,"10 km and above")</f>
        <v>2 to 5 km</v>
      </c>
      <c r="Q27" s="8" t="str" cm="1">
        <f t="array" ref="Q27">_xlfn.IFS(tblDelivery[[#This Row],[route_length_km]]&lt;2,"&lt;2 km",tblDelivery[[#This Row],[route_length_km]]&lt;5,"2 to 5 km",tblDelivery[[#This Row],[route_length_km]]&lt;10,"5 to 10 km",TRUE,"10 km and above")</f>
        <v>2 to 5 km</v>
      </c>
      <c r="T27" s="8"/>
    </row>
    <row r="28" spans="1:20" x14ac:dyDescent="0.25">
      <c r="A28" s="6">
        <v>27</v>
      </c>
      <c r="B28" s="2">
        <v>8.5299999999999994</v>
      </c>
      <c r="C28" s="8">
        <v>44.4</v>
      </c>
      <c r="D28" s="3" t="s">
        <v>10</v>
      </c>
      <c r="E28" s="2">
        <v>9.26</v>
      </c>
      <c r="F28" t="s">
        <v>11</v>
      </c>
      <c r="G28" t="s">
        <v>16</v>
      </c>
      <c r="H28" s="1">
        <v>45659.344444444447</v>
      </c>
      <c r="I28" t="s">
        <v>21</v>
      </c>
      <c r="J28" t="s">
        <v>25</v>
      </c>
      <c r="K28" s="10">
        <f>INT(tblDelivery[[#This Row],[order_time]])</f>
        <v>45659</v>
      </c>
      <c r="L28" s="8">
        <f>HOUR(tblDelivery[[#This Row],[order_time]])</f>
        <v>8</v>
      </c>
      <c r="M28">
        <f>IF(tblDelivery[[#This Row],[delivery_time_min]]&lt;=Time_Target,1,0)</f>
        <v>1</v>
      </c>
      <c r="N28" s="8">
        <f>IF(AND(COUNTBLANK(tblDelivery[[#This Row],[order_id]:[customer_zone]])=0,tblDelivery[[#This Row],[delivery_time_min]]&gt;0,tblDelivery[[#This Row],[distance_km]]&gt;0,tblDelivery[[#This Row],[route_length_km]]&gt;=tblDelivery[[#This Row],[distance_km]]*0.99,COUNTIFS(tblDelivery[order_id],tblDelivery[[#This Row],[order_id]])=1),1,0)</f>
        <v>1</v>
      </c>
      <c r="O28" s="8">
        <f>SUBTOTAL(103,tblDelivery[[#This Row],[order_id]])</f>
        <v>1</v>
      </c>
      <c r="P28" s="8" t="str" cm="1">
        <f t="array" ref="P28">_xlfn.IFS(tblDelivery[[#This Row],[distance_km]]&lt;2,"&lt; 2 km",tblDelivery[[#This Row],[distance_km]]&lt;5,"2 to 5 km",tblDelivery[[#This Row],[distance_km]]&lt;10,"5 to 10 km",TRUE,"10 km and above")</f>
        <v>5 to 10 km</v>
      </c>
      <c r="Q28" s="8" t="str" cm="1">
        <f t="array" ref="Q28">_xlfn.IFS(tblDelivery[[#This Row],[route_length_km]]&lt;2,"&lt;2 km",tblDelivery[[#This Row],[route_length_km]]&lt;5,"2 to 5 km",tblDelivery[[#This Row],[route_length_km]]&lt;10,"5 to 10 km",TRUE,"10 km and above")</f>
        <v>5 to 10 km</v>
      </c>
      <c r="T28" s="8"/>
    </row>
    <row r="29" spans="1:20" x14ac:dyDescent="0.25">
      <c r="A29" s="6">
        <v>28</v>
      </c>
      <c r="B29" s="2">
        <v>3.65</v>
      </c>
      <c r="C29" s="8">
        <v>21.2</v>
      </c>
      <c r="D29" s="3" t="s">
        <v>22</v>
      </c>
      <c r="E29" s="2">
        <v>5.2</v>
      </c>
      <c r="F29" t="s">
        <v>11</v>
      </c>
      <c r="G29" t="s">
        <v>24</v>
      </c>
      <c r="H29" s="1">
        <v>45658.759722222225</v>
      </c>
      <c r="I29" t="s">
        <v>13</v>
      </c>
      <c r="J29" t="s">
        <v>17</v>
      </c>
      <c r="K29" s="10">
        <f>INT(tblDelivery[[#This Row],[order_time]])</f>
        <v>45658</v>
      </c>
      <c r="L29" s="8">
        <f>HOUR(tblDelivery[[#This Row],[order_time]])</f>
        <v>18</v>
      </c>
      <c r="M29">
        <f>IF(tblDelivery[[#This Row],[delivery_time_min]]&lt;=Time_Target,1,0)</f>
        <v>1</v>
      </c>
      <c r="N29" s="8">
        <f>IF(AND(COUNTBLANK(tblDelivery[[#This Row],[order_id]:[customer_zone]])=0,tblDelivery[[#This Row],[delivery_time_min]]&gt;0,tblDelivery[[#This Row],[distance_km]]&gt;0,tblDelivery[[#This Row],[route_length_km]]&gt;=tblDelivery[[#This Row],[distance_km]]*0.99,COUNTIFS(tblDelivery[order_id],tblDelivery[[#This Row],[order_id]])=1),1,0)</f>
        <v>1</v>
      </c>
      <c r="O29" s="8">
        <f>SUBTOTAL(103,tblDelivery[[#This Row],[order_id]])</f>
        <v>1</v>
      </c>
      <c r="P29" s="8" t="str" cm="1">
        <f t="array" ref="P29">_xlfn.IFS(tblDelivery[[#This Row],[distance_km]]&lt;2,"&lt; 2 km",tblDelivery[[#This Row],[distance_km]]&lt;5,"2 to 5 km",tblDelivery[[#This Row],[distance_km]]&lt;10,"5 to 10 km",TRUE,"10 km and above")</f>
        <v>2 to 5 km</v>
      </c>
      <c r="Q29" s="8" t="str" cm="1">
        <f t="array" ref="Q29">_xlfn.IFS(tblDelivery[[#This Row],[route_length_km]]&lt;2,"&lt;2 km",tblDelivery[[#This Row],[route_length_km]]&lt;5,"2 to 5 km",tblDelivery[[#This Row],[route_length_km]]&lt;10,"5 to 10 km",TRUE,"10 km and above")</f>
        <v>5 to 10 km</v>
      </c>
      <c r="T29" s="8"/>
    </row>
    <row r="30" spans="1:20" x14ac:dyDescent="0.25">
      <c r="A30" s="6">
        <v>29</v>
      </c>
      <c r="B30" s="2">
        <v>5.59</v>
      </c>
      <c r="C30" s="8">
        <v>38</v>
      </c>
      <c r="D30" s="3" t="s">
        <v>18</v>
      </c>
      <c r="E30" s="2">
        <v>7.34</v>
      </c>
      <c r="F30" t="s">
        <v>19</v>
      </c>
      <c r="G30" t="s">
        <v>12</v>
      </c>
      <c r="H30" s="1">
        <v>45661.004861111112</v>
      </c>
      <c r="I30" t="s">
        <v>13</v>
      </c>
      <c r="J30" t="s">
        <v>21</v>
      </c>
      <c r="K30" s="10">
        <f>INT(tblDelivery[[#This Row],[order_time]])</f>
        <v>45661</v>
      </c>
      <c r="L30" s="8">
        <f>HOUR(tblDelivery[[#This Row],[order_time]])</f>
        <v>0</v>
      </c>
      <c r="M30">
        <f>IF(tblDelivery[[#This Row],[delivery_time_min]]&lt;=Time_Target,1,0)</f>
        <v>1</v>
      </c>
      <c r="N30" s="8">
        <f>IF(AND(COUNTBLANK(tblDelivery[[#This Row],[order_id]:[customer_zone]])=0,tblDelivery[[#This Row],[delivery_time_min]]&gt;0,tblDelivery[[#This Row],[distance_km]]&gt;0,tblDelivery[[#This Row],[route_length_km]]&gt;=tblDelivery[[#This Row],[distance_km]]*0.99,COUNTIFS(tblDelivery[order_id],tblDelivery[[#This Row],[order_id]])=1),1,0)</f>
        <v>1</v>
      </c>
      <c r="O30" s="8">
        <f>SUBTOTAL(103,tblDelivery[[#This Row],[order_id]])</f>
        <v>1</v>
      </c>
      <c r="P30" s="8" t="str" cm="1">
        <f t="array" ref="P30">_xlfn.IFS(tblDelivery[[#This Row],[distance_km]]&lt;2,"&lt; 2 km",tblDelivery[[#This Row],[distance_km]]&lt;5,"2 to 5 km",tblDelivery[[#This Row],[distance_km]]&lt;10,"5 to 10 km",TRUE,"10 km and above")</f>
        <v>5 to 10 km</v>
      </c>
      <c r="Q30" s="8" t="str" cm="1">
        <f t="array" ref="Q30">_xlfn.IFS(tblDelivery[[#This Row],[route_length_km]]&lt;2,"&lt;2 km",tblDelivery[[#This Row],[route_length_km]]&lt;5,"2 to 5 km",tblDelivery[[#This Row],[route_length_km]]&lt;10,"5 to 10 km",TRUE,"10 km and above")</f>
        <v>5 to 10 km</v>
      </c>
      <c r="T30" s="8"/>
    </row>
    <row r="31" spans="1:20" x14ac:dyDescent="0.25">
      <c r="A31" s="6">
        <v>30</v>
      </c>
      <c r="B31" s="2">
        <v>2.65</v>
      </c>
      <c r="C31" s="8">
        <v>19.3</v>
      </c>
      <c r="D31" s="3" t="s">
        <v>18</v>
      </c>
      <c r="E31" s="2">
        <v>2.97</v>
      </c>
      <c r="F31" t="s">
        <v>15</v>
      </c>
      <c r="G31" t="s">
        <v>20</v>
      </c>
      <c r="H31" s="1">
        <v>45661.359722222223</v>
      </c>
      <c r="I31" t="s">
        <v>17</v>
      </c>
      <c r="J31" t="s">
        <v>25</v>
      </c>
      <c r="K31" s="10">
        <f>INT(tblDelivery[[#This Row],[order_time]])</f>
        <v>45661</v>
      </c>
      <c r="L31" s="8">
        <f>HOUR(tblDelivery[[#This Row],[order_time]])</f>
        <v>8</v>
      </c>
      <c r="M31">
        <f>IF(tblDelivery[[#This Row],[delivery_time_min]]&lt;=Time_Target,1,0)</f>
        <v>1</v>
      </c>
      <c r="N31" s="8">
        <f>IF(AND(COUNTBLANK(tblDelivery[[#This Row],[order_id]:[customer_zone]])=0,tblDelivery[[#This Row],[delivery_time_min]]&gt;0,tblDelivery[[#This Row],[distance_km]]&gt;0,tblDelivery[[#This Row],[route_length_km]]&gt;=tblDelivery[[#This Row],[distance_km]]*0.99,COUNTIFS(tblDelivery[order_id],tblDelivery[[#This Row],[order_id]])=1),1,0)</f>
        <v>1</v>
      </c>
      <c r="O31" s="8">
        <f>SUBTOTAL(103,tblDelivery[[#This Row],[order_id]])</f>
        <v>1</v>
      </c>
      <c r="P31" s="8" t="str" cm="1">
        <f t="array" ref="P31">_xlfn.IFS(tblDelivery[[#This Row],[distance_km]]&lt;2,"&lt; 2 km",tblDelivery[[#This Row],[distance_km]]&lt;5,"2 to 5 km",tblDelivery[[#This Row],[distance_km]]&lt;10,"5 to 10 km",TRUE,"10 km and above")</f>
        <v>2 to 5 km</v>
      </c>
      <c r="Q31" s="8" t="str" cm="1">
        <f t="array" ref="Q31">_xlfn.IFS(tblDelivery[[#This Row],[route_length_km]]&lt;2,"&lt;2 km",tblDelivery[[#This Row],[route_length_km]]&lt;5,"2 to 5 km",tblDelivery[[#This Row],[route_length_km]]&lt;10,"5 to 10 km",TRUE,"10 km and above")</f>
        <v>2 to 5 km</v>
      </c>
      <c r="T31" s="8"/>
    </row>
    <row r="32" spans="1:20" x14ac:dyDescent="0.25">
      <c r="A32" s="6">
        <v>31</v>
      </c>
      <c r="B32" s="2">
        <v>6.37</v>
      </c>
      <c r="C32" s="8">
        <v>28.9</v>
      </c>
      <c r="D32" s="3" t="s">
        <v>10</v>
      </c>
      <c r="E32" s="2">
        <v>7.17</v>
      </c>
      <c r="F32" t="s">
        <v>19</v>
      </c>
      <c r="G32" t="s">
        <v>20</v>
      </c>
      <c r="H32" s="1">
        <v>45661.077777777777</v>
      </c>
      <c r="I32" t="s">
        <v>13</v>
      </c>
      <c r="J32" t="s">
        <v>25</v>
      </c>
      <c r="K32" s="10">
        <f>INT(tblDelivery[[#This Row],[order_time]])</f>
        <v>45661</v>
      </c>
      <c r="L32" s="8">
        <f>HOUR(tblDelivery[[#This Row],[order_time]])</f>
        <v>1</v>
      </c>
      <c r="M32">
        <f>IF(tblDelivery[[#This Row],[delivery_time_min]]&lt;=Time_Target,1,0)</f>
        <v>1</v>
      </c>
      <c r="N32" s="8">
        <f>IF(AND(COUNTBLANK(tblDelivery[[#This Row],[order_id]:[customer_zone]])=0,tblDelivery[[#This Row],[delivery_time_min]]&gt;0,tblDelivery[[#This Row],[distance_km]]&gt;0,tblDelivery[[#This Row],[route_length_km]]&gt;=tblDelivery[[#This Row],[distance_km]]*0.99,COUNTIFS(tblDelivery[order_id],tblDelivery[[#This Row],[order_id]])=1),1,0)</f>
        <v>1</v>
      </c>
      <c r="O32" s="8">
        <f>SUBTOTAL(103,tblDelivery[[#This Row],[order_id]])</f>
        <v>1</v>
      </c>
      <c r="P32" s="8" t="str" cm="1">
        <f t="array" ref="P32">_xlfn.IFS(tblDelivery[[#This Row],[distance_km]]&lt;2,"&lt; 2 km",tblDelivery[[#This Row],[distance_km]]&lt;5,"2 to 5 km",tblDelivery[[#This Row],[distance_km]]&lt;10,"5 to 10 km",TRUE,"10 km and above")</f>
        <v>5 to 10 km</v>
      </c>
      <c r="Q32" s="8" t="str" cm="1">
        <f t="array" ref="Q32">_xlfn.IFS(tblDelivery[[#This Row],[route_length_km]]&lt;2,"&lt;2 km",tblDelivery[[#This Row],[route_length_km]]&lt;5,"2 to 5 km",tblDelivery[[#This Row],[route_length_km]]&lt;10,"5 to 10 km",TRUE,"10 km and above")</f>
        <v>5 to 10 km</v>
      </c>
      <c r="T32" s="8"/>
    </row>
    <row r="33" spans="1:20" x14ac:dyDescent="0.25">
      <c r="A33" s="6">
        <v>32</v>
      </c>
      <c r="B33" s="2">
        <v>3.14</v>
      </c>
      <c r="C33" s="8">
        <v>18.8</v>
      </c>
      <c r="D33" s="3" t="s">
        <v>10</v>
      </c>
      <c r="E33" s="2">
        <v>4.33</v>
      </c>
      <c r="F33" t="s">
        <v>23</v>
      </c>
      <c r="G33" t="s">
        <v>12</v>
      </c>
      <c r="H33" s="1">
        <v>45658.336805555555</v>
      </c>
      <c r="I33" t="s">
        <v>17</v>
      </c>
      <c r="J33" t="s">
        <v>13</v>
      </c>
      <c r="K33" s="10">
        <f>INT(tblDelivery[[#This Row],[order_time]])</f>
        <v>45658</v>
      </c>
      <c r="L33" s="8">
        <f>HOUR(tblDelivery[[#This Row],[order_time]])</f>
        <v>8</v>
      </c>
      <c r="M33">
        <f>IF(tblDelivery[[#This Row],[delivery_time_min]]&lt;=Time_Target,1,0)</f>
        <v>1</v>
      </c>
      <c r="N33" s="8">
        <f>IF(AND(COUNTBLANK(tblDelivery[[#This Row],[order_id]:[customer_zone]])=0,tblDelivery[[#This Row],[delivery_time_min]]&gt;0,tblDelivery[[#This Row],[distance_km]]&gt;0,tblDelivery[[#This Row],[route_length_km]]&gt;=tblDelivery[[#This Row],[distance_km]]*0.99,COUNTIFS(tblDelivery[order_id],tblDelivery[[#This Row],[order_id]])=1),1,0)</f>
        <v>1</v>
      </c>
      <c r="O33" s="8">
        <f>SUBTOTAL(103,tblDelivery[[#This Row],[order_id]])</f>
        <v>1</v>
      </c>
      <c r="P33" s="8" t="str" cm="1">
        <f t="array" ref="P33">_xlfn.IFS(tblDelivery[[#This Row],[distance_km]]&lt;2,"&lt; 2 km",tblDelivery[[#This Row],[distance_km]]&lt;5,"2 to 5 km",tblDelivery[[#This Row],[distance_km]]&lt;10,"5 to 10 km",TRUE,"10 km and above")</f>
        <v>2 to 5 km</v>
      </c>
      <c r="Q33" s="8" t="str" cm="1">
        <f t="array" ref="Q33">_xlfn.IFS(tblDelivery[[#This Row],[route_length_km]]&lt;2,"&lt;2 km",tblDelivery[[#This Row],[route_length_km]]&lt;5,"2 to 5 km",tblDelivery[[#This Row],[route_length_km]]&lt;10,"5 to 10 km",TRUE,"10 km and above")</f>
        <v>2 to 5 km</v>
      </c>
      <c r="T33" s="8"/>
    </row>
    <row r="34" spans="1:20" x14ac:dyDescent="0.25">
      <c r="A34" s="6">
        <v>33</v>
      </c>
      <c r="B34" s="2">
        <v>7.31</v>
      </c>
      <c r="C34" s="8">
        <v>36.299999999999997</v>
      </c>
      <c r="D34" s="3" t="s">
        <v>18</v>
      </c>
      <c r="E34" s="2">
        <v>7.88</v>
      </c>
      <c r="F34" t="s">
        <v>19</v>
      </c>
      <c r="G34" t="s">
        <v>24</v>
      </c>
      <c r="H34" s="1">
        <v>45660.220138888886</v>
      </c>
      <c r="I34" t="s">
        <v>21</v>
      </c>
      <c r="J34" t="s">
        <v>14</v>
      </c>
      <c r="K34" s="10">
        <f>INT(tblDelivery[[#This Row],[order_time]])</f>
        <v>45660</v>
      </c>
      <c r="L34" s="8">
        <f>HOUR(tblDelivery[[#This Row],[order_time]])</f>
        <v>5</v>
      </c>
      <c r="M34">
        <f>IF(tblDelivery[[#This Row],[delivery_time_min]]&lt;=Time_Target,1,0)</f>
        <v>1</v>
      </c>
      <c r="N34" s="8">
        <f>IF(AND(COUNTBLANK(tblDelivery[[#This Row],[order_id]:[customer_zone]])=0,tblDelivery[[#This Row],[delivery_time_min]]&gt;0,tblDelivery[[#This Row],[distance_km]]&gt;0,tblDelivery[[#This Row],[route_length_km]]&gt;=tblDelivery[[#This Row],[distance_km]]*0.99,COUNTIFS(tblDelivery[order_id],tblDelivery[[#This Row],[order_id]])=1),1,0)</f>
        <v>1</v>
      </c>
      <c r="O34" s="8">
        <f>SUBTOTAL(103,tblDelivery[[#This Row],[order_id]])</f>
        <v>1</v>
      </c>
      <c r="P34" s="8" t="str" cm="1">
        <f t="array" ref="P34">_xlfn.IFS(tblDelivery[[#This Row],[distance_km]]&lt;2,"&lt; 2 km",tblDelivery[[#This Row],[distance_km]]&lt;5,"2 to 5 km",tblDelivery[[#This Row],[distance_km]]&lt;10,"5 to 10 km",TRUE,"10 km and above")</f>
        <v>5 to 10 km</v>
      </c>
      <c r="Q34" s="8" t="str" cm="1">
        <f t="array" ref="Q34">_xlfn.IFS(tblDelivery[[#This Row],[route_length_km]]&lt;2,"&lt;2 km",tblDelivery[[#This Row],[route_length_km]]&lt;5,"2 to 5 km",tblDelivery[[#This Row],[route_length_km]]&lt;10,"5 to 10 km",TRUE,"10 km and above")</f>
        <v>5 to 10 km</v>
      </c>
      <c r="T34" s="8"/>
    </row>
    <row r="35" spans="1:20" x14ac:dyDescent="0.25">
      <c r="A35" s="6">
        <v>34</v>
      </c>
      <c r="B35" s="2">
        <v>11.99</v>
      </c>
      <c r="C35" s="8">
        <v>58.2</v>
      </c>
      <c r="D35" s="3" t="s">
        <v>18</v>
      </c>
      <c r="E35" s="2">
        <v>13.31</v>
      </c>
      <c r="F35" t="s">
        <v>11</v>
      </c>
      <c r="G35" t="s">
        <v>16</v>
      </c>
      <c r="H35" s="1">
        <v>45659.736111111109</v>
      </c>
      <c r="I35" t="s">
        <v>17</v>
      </c>
      <c r="J35" t="s">
        <v>13</v>
      </c>
      <c r="K35" s="10">
        <f>INT(tblDelivery[[#This Row],[order_time]])</f>
        <v>45659</v>
      </c>
      <c r="L35" s="8">
        <f>HOUR(tblDelivery[[#This Row],[order_time]])</f>
        <v>17</v>
      </c>
      <c r="M35">
        <f>IF(tblDelivery[[#This Row],[delivery_time_min]]&lt;=Time_Target,1,0)</f>
        <v>0</v>
      </c>
      <c r="N35" s="8">
        <f>IF(AND(COUNTBLANK(tblDelivery[[#This Row],[order_id]:[customer_zone]])=0,tblDelivery[[#This Row],[delivery_time_min]]&gt;0,tblDelivery[[#This Row],[distance_km]]&gt;0,tblDelivery[[#This Row],[route_length_km]]&gt;=tblDelivery[[#This Row],[distance_km]]*0.99,COUNTIFS(tblDelivery[order_id],tblDelivery[[#This Row],[order_id]])=1),1,0)</f>
        <v>1</v>
      </c>
      <c r="O35" s="8">
        <f>SUBTOTAL(103,tblDelivery[[#This Row],[order_id]])</f>
        <v>1</v>
      </c>
      <c r="P35" s="8" t="str" cm="1">
        <f t="array" ref="P35">_xlfn.IFS(tblDelivery[[#This Row],[distance_km]]&lt;2,"&lt; 2 km",tblDelivery[[#This Row],[distance_km]]&lt;5,"2 to 5 km",tblDelivery[[#This Row],[distance_km]]&lt;10,"5 to 10 km",TRUE,"10 km and above")</f>
        <v>10 km and above</v>
      </c>
      <c r="Q35" s="8" t="str" cm="1">
        <f t="array" ref="Q35">_xlfn.IFS(tblDelivery[[#This Row],[route_length_km]]&lt;2,"&lt;2 km",tblDelivery[[#This Row],[route_length_km]]&lt;5,"2 to 5 km",tblDelivery[[#This Row],[route_length_km]]&lt;10,"5 to 10 km",TRUE,"10 km and above")</f>
        <v>10 km and above</v>
      </c>
      <c r="T35" s="8"/>
    </row>
    <row r="36" spans="1:20" x14ac:dyDescent="0.25">
      <c r="A36" s="6">
        <v>35</v>
      </c>
      <c r="B36" s="2">
        <v>2.65</v>
      </c>
      <c r="C36" s="8">
        <v>19.5</v>
      </c>
      <c r="D36" s="3" t="s">
        <v>22</v>
      </c>
      <c r="E36" s="2">
        <v>2.96</v>
      </c>
      <c r="F36" t="s">
        <v>15</v>
      </c>
      <c r="G36" t="s">
        <v>12</v>
      </c>
      <c r="H36" s="1">
        <v>45661.317361111112</v>
      </c>
      <c r="I36" t="s">
        <v>14</v>
      </c>
      <c r="J36" t="s">
        <v>21</v>
      </c>
      <c r="K36" s="10">
        <f>INT(tblDelivery[[#This Row],[order_time]])</f>
        <v>45661</v>
      </c>
      <c r="L36" s="8">
        <f>HOUR(tblDelivery[[#This Row],[order_time]])</f>
        <v>7</v>
      </c>
      <c r="M36">
        <f>IF(tblDelivery[[#This Row],[delivery_time_min]]&lt;=Time_Target,1,0)</f>
        <v>1</v>
      </c>
      <c r="N36" s="8">
        <f>IF(AND(COUNTBLANK(tblDelivery[[#This Row],[order_id]:[customer_zone]])=0,tblDelivery[[#This Row],[delivery_time_min]]&gt;0,tblDelivery[[#This Row],[distance_km]]&gt;0,tblDelivery[[#This Row],[route_length_km]]&gt;=tblDelivery[[#This Row],[distance_km]]*0.99,COUNTIFS(tblDelivery[order_id],tblDelivery[[#This Row],[order_id]])=1),1,0)</f>
        <v>1</v>
      </c>
      <c r="O36" s="8">
        <f>SUBTOTAL(103,tblDelivery[[#This Row],[order_id]])</f>
        <v>1</v>
      </c>
      <c r="P36" s="8" t="str" cm="1">
        <f t="array" ref="P36">_xlfn.IFS(tblDelivery[[#This Row],[distance_km]]&lt;2,"&lt; 2 km",tblDelivery[[#This Row],[distance_km]]&lt;5,"2 to 5 km",tblDelivery[[#This Row],[distance_km]]&lt;10,"5 to 10 km",TRUE,"10 km and above")</f>
        <v>2 to 5 km</v>
      </c>
      <c r="Q36" s="8" t="str" cm="1">
        <f t="array" ref="Q36">_xlfn.IFS(tblDelivery[[#This Row],[route_length_km]]&lt;2,"&lt;2 km",tblDelivery[[#This Row],[route_length_km]]&lt;5,"2 to 5 km",tblDelivery[[#This Row],[route_length_km]]&lt;10,"5 to 10 km",TRUE,"10 km and above")</f>
        <v>2 to 5 km</v>
      </c>
      <c r="T36" s="8"/>
    </row>
    <row r="37" spans="1:20" x14ac:dyDescent="0.25">
      <c r="A37" s="6">
        <v>36</v>
      </c>
      <c r="B37" s="2">
        <v>3.25</v>
      </c>
      <c r="C37" s="8">
        <v>21.3</v>
      </c>
      <c r="D37" s="3" t="s">
        <v>10</v>
      </c>
      <c r="E37" s="2">
        <v>3.81</v>
      </c>
      <c r="F37" t="s">
        <v>19</v>
      </c>
      <c r="G37" t="s">
        <v>16</v>
      </c>
      <c r="H37" s="1">
        <v>45659.175000000003</v>
      </c>
      <c r="I37" t="s">
        <v>14</v>
      </c>
      <c r="J37" t="s">
        <v>14</v>
      </c>
      <c r="K37" s="10">
        <f>INT(tblDelivery[[#This Row],[order_time]])</f>
        <v>45659</v>
      </c>
      <c r="L37" s="8">
        <f>HOUR(tblDelivery[[#This Row],[order_time]])</f>
        <v>4</v>
      </c>
      <c r="M37">
        <f>IF(tblDelivery[[#This Row],[delivery_time_min]]&lt;=Time_Target,1,0)</f>
        <v>1</v>
      </c>
      <c r="N37" s="8">
        <f>IF(AND(COUNTBLANK(tblDelivery[[#This Row],[order_id]:[customer_zone]])=0,tblDelivery[[#This Row],[delivery_time_min]]&gt;0,tblDelivery[[#This Row],[distance_km]]&gt;0,tblDelivery[[#This Row],[route_length_km]]&gt;=tblDelivery[[#This Row],[distance_km]]*0.99,COUNTIFS(tblDelivery[order_id],tblDelivery[[#This Row],[order_id]])=1),1,0)</f>
        <v>1</v>
      </c>
      <c r="O37" s="8">
        <f>SUBTOTAL(103,tblDelivery[[#This Row],[order_id]])</f>
        <v>1</v>
      </c>
      <c r="P37" s="8" t="str" cm="1">
        <f t="array" ref="P37">_xlfn.IFS(tblDelivery[[#This Row],[distance_km]]&lt;2,"&lt; 2 km",tblDelivery[[#This Row],[distance_km]]&lt;5,"2 to 5 km",tblDelivery[[#This Row],[distance_km]]&lt;10,"5 to 10 km",TRUE,"10 km and above")</f>
        <v>2 to 5 km</v>
      </c>
      <c r="Q37" s="8" t="str" cm="1">
        <f t="array" ref="Q37">_xlfn.IFS(tblDelivery[[#This Row],[route_length_km]]&lt;2,"&lt;2 km",tblDelivery[[#This Row],[route_length_km]]&lt;5,"2 to 5 km",tblDelivery[[#This Row],[route_length_km]]&lt;10,"5 to 10 km",TRUE,"10 km and above")</f>
        <v>2 to 5 km</v>
      </c>
      <c r="T37" s="8"/>
    </row>
    <row r="38" spans="1:20" x14ac:dyDescent="0.25">
      <c r="A38" s="6">
        <v>37</v>
      </c>
      <c r="B38" s="2">
        <v>2.97</v>
      </c>
      <c r="C38" s="8">
        <v>23.1</v>
      </c>
      <c r="D38" s="3" t="s">
        <v>10</v>
      </c>
      <c r="E38" s="2">
        <v>3.43</v>
      </c>
      <c r="F38" t="s">
        <v>23</v>
      </c>
      <c r="G38" t="s">
        <v>12</v>
      </c>
      <c r="H38" s="1">
        <v>45660.532638888886</v>
      </c>
      <c r="I38" t="s">
        <v>17</v>
      </c>
      <c r="J38" t="s">
        <v>21</v>
      </c>
      <c r="K38" s="10">
        <f>INT(tblDelivery[[#This Row],[order_time]])</f>
        <v>45660</v>
      </c>
      <c r="L38" s="8">
        <f>HOUR(tblDelivery[[#This Row],[order_time]])</f>
        <v>12</v>
      </c>
      <c r="M38">
        <f>IF(tblDelivery[[#This Row],[delivery_time_min]]&lt;=Time_Target,1,0)</f>
        <v>1</v>
      </c>
      <c r="N38" s="8">
        <f>IF(AND(COUNTBLANK(tblDelivery[[#This Row],[order_id]:[customer_zone]])=0,tblDelivery[[#This Row],[delivery_time_min]]&gt;0,tblDelivery[[#This Row],[distance_km]]&gt;0,tblDelivery[[#This Row],[route_length_km]]&gt;=tblDelivery[[#This Row],[distance_km]]*0.99,COUNTIFS(tblDelivery[order_id],tblDelivery[[#This Row],[order_id]])=1),1,0)</f>
        <v>1</v>
      </c>
      <c r="O38" s="8">
        <f>SUBTOTAL(103,tblDelivery[[#This Row],[order_id]])</f>
        <v>1</v>
      </c>
      <c r="P38" s="8" t="str" cm="1">
        <f t="array" ref="P38">_xlfn.IFS(tblDelivery[[#This Row],[distance_km]]&lt;2,"&lt; 2 km",tblDelivery[[#This Row],[distance_km]]&lt;5,"2 to 5 km",tblDelivery[[#This Row],[distance_km]]&lt;10,"5 to 10 km",TRUE,"10 km and above")</f>
        <v>2 to 5 km</v>
      </c>
      <c r="Q38" s="8" t="str" cm="1">
        <f t="array" ref="Q38">_xlfn.IFS(tblDelivery[[#This Row],[route_length_km]]&lt;2,"&lt;2 km",tblDelivery[[#This Row],[route_length_km]]&lt;5,"2 to 5 km",tblDelivery[[#This Row],[route_length_km]]&lt;10,"5 to 10 km",TRUE,"10 km and above")</f>
        <v>2 to 5 km</v>
      </c>
      <c r="T38" s="8"/>
    </row>
    <row r="39" spans="1:20" x14ac:dyDescent="0.25">
      <c r="A39" s="6">
        <v>38</v>
      </c>
      <c r="B39" s="2">
        <v>4.47</v>
      </c>
      <c r="C39" s="8">
        <v>25.8</v>
      </c>
      <c r="D39" s="3" t="s">
        <v>10</v>
      </c>
      <c r="E39" s="2">
        <v>5.16</v>
      </c>
      <c r="F39" t="s">
        <v>19</v>
      </c>
      <c r="G39" t="s">
        <v>16</v>
      </c>
      <c r="H39" s="1">
        <v>45659.088194444441</v>
      </c>
      <c r="I39" t="s">
        <v>14</v>
      </c>
      <c r="J39" t="s">
        <v>25</v>
      </c>
      <c r="K39" s="10">
        <f>INT(tblDelivery[[#This Row],[order_time]])</f>
        <v>45659</v>
      </c>
      <c r="L39" s="8">
        <f>HOUR(tblDelivery[[#This Row],[order_time]])</f>
        <v>2</v>
      </c>
      <c r="M39">
        <f>IF(tblDelivery[[#This Row],[delivery_time_min]]&lt;=Time_Target,1,0)</f>
        <v>1</v>
      </c>
      <c r="N39" s="8">
        <f>IF(AND(COUNTBLANK(tblDelivery[[#This Row],[order_id]:[customer_zone]])=0,tblDelivery[[#This Row],[delivery_time_min]]&gt;0,tblDelivery[[#This Row],[distance_km]]&gt;0,tblDelivery[[#This Row],[route_length_km]]&gt;=tblDelivery[[#This Row],[distance_km]]*0.99,COUNTIFS(tblDelivery[order_id],tblDelivery[[#This Row],[order_id]])=1),1,0)</f>
        <v>1</v>
      </c>
      <c r="O39" s="8">
        <f>SUBTOTAL(103,tblDelivery[[#This Row],[order_id]])</f>
        <v>1</v>
      </c>
      <c r="P39" s="8" t="str" cm="1">
        <f t="array" ref="P39">_xlfn.IFS(tblDelivery[[#This Row],[distance_km]]&lt;2,"&lt; 2 km",tblDelivery[[#This Row],[distance_km]]&lt;5,"2 to 5 km",tblDelivery[[#This Row],[distance_km]]&lt;10,"5 to 10 km",TRUE,"10 km and above")</f>
        <v>2 to 5 km</v>
      </c>
      <c r="Q39" s="8" t="str" cm="1">
        <f t="array" ref="Q39">_xlfn.IFS(tblDelivery[[#This Row],[route_length_km]]&lt;2,"&lt;2 km",tblDelivery[[#This Row],[route_length_km]]&lt;5,"2 to 5 km",tblDelivery[[#This Row],[route_length_km]]&lt;10,"5 to 10 km",TRUE,"10 km and above")</f>
        <v>5 to 10 km</v>
      </c>
      <c r="T39" s="8"/>
    </row>
    <row r="40" spans="1:20" x14ac:dyDescent="0.25">
      <c r="A40" s="6">
        <v>39</v>
      </c>
      <c r="B40" s="2">
        <v>3.24</v>
      </c>
      <c r="C40" s="8">
        <v>26</v>
      </c>
      <c r="D40" s="3" t="s">
        <v>22</v>
      </c>
      <c r="E40" s="2">
        <v>4.16</v>
      </c>
      <c r="F40" t="s">
        <v>19</v>
      </c>
      <c r="G40" t="s">
        <v>12</v>
      </c>
      <c r="H40" s="1">
        <v>45660.657638888886</v>
      </c>
      <c r="I40" t="s">
        <v>17</v>
      </c>
      <c r="J40" t="s">
        <v>21</v>
      </c>
      <c r="K40" s="10">
        <f>INT(tblDelivery[[#This Row],[order_time]])</f>
        <v>45660</v>
      </c>
      <c r="L40" s="8">
        <f>HOUR(tblDelivery[[#This Row],[order_time]])</f>
        <v>15</v>
      </c>
      <c r="M40">
        <f>IF(tblDelivery[[#This Row],[delivery_time_min]]&lt;=Time_Target,1,0)</f>
        <v>1</v>
      </c>
      <c r="N40" s="8">
        <f>IF(AND(COUNTBLANK(tblDelivery[[#This Row],[order_id]:[customer_zone]])=0,tblDelivery[[#This Row],[delivery_time_min]]&gt;0,tblDelivery[[#This Row],[distance_km]]&gt;0,tblDelivery[[#This Row],[route_length_km]]&gt;=tblDelivery[[#This Row],[distance_km]]*0.99,COUNTIFS(tblDelivery[order_id],tblDelivery[[#This Row],[order_id]])=1),1,0)</f>
        <v>1</v>
      </c>
      <c r="O40" s="8">
        <f>SUBTOTAL(103,tblDelivery[[#This Row],[order_id]])</f>
        <v>1</v>
      </c>
      <c r="P40" s="8" t="str" cm="1">
        <f t="array" ref="P40">_xlfn.IFS(tblDelivery[[#This Row],[distance_km]]&lt;2,"&lt; 2 km",tblDelivery[[#This Row],[distance_km]]&lt;5,"2 to 5 km",tblDelivery[[#This Row],[distance_km]]&lt;10,"5 to 10 km",TRUE,"10 km and above")</f>
        <v>2 to 5 km</v>
      </c>
      <c r="Q40" s="8" t="str" cm="1">
        <f t="array" ref="Q40">_xlfn.IFS(tblDelivery[[#This Row],[route_length_km]]&lt;2,"&lt;2 km",tblDelivery[[#This Row],[route_length_km]]&lt;5,"2 to 5 km",tblDelivery[[#This Row],[route_length_km]]&lt;10,"5 to 10 km",TRUE,"10 km and above")</f>
        <v>2 to 5 km</v>
      </c>
      <c r="T40" s="8"/>
    </row>
    <row r="41" spans="1:20" x14ac:dyDescent="0.25">
      <c r="A41" s="6">
        <v>40</v>
      </c>
      <c r="B41" s="2">
        <v>6.75</v>
      </c>
      <c r="C41" s="8">
        <v>49.5</v>
      </c>
      <c r="D41" s="3" t="s">
        <v>22</v>
      </c>
      <c r="E41" s="2">
        <v>7.19</v>
      </c>
      <c r="F41" t="s">
        <v>23</v>
      </c>
      <c r="G41" t="s">
        <v>20</v>
      </c>
      <c r="H41" s="1">
        <v>45660.154166666667</v>
      </c>
      <c r="I41" t="s">
        <v>21</v>
      </c>
      <c r="J41" t="s">
        <v>13</v>
      </c>
      <c r="K41" s="10">
        <f>INT(tblDelivery[[#This Row],[order_time]])</f>
        <v>45660</v>
      </c>
      <c r="L41" s="8">
        <f>HOUR(tblDelivery[[#This Row],[order_time]])</f>
        <v>3</v>
      </c>
      <c r="M41">
        <f>IF(tblDelivery[[#This Row],[delivery_time_min]]&lt;=Time_Target,1,0)</f>
        <v>0</v>
      </c>
      <c r="N41" s="8">
        <f>IF(AND(COUNTBLANK(tblDelivery[[#This Row],[order_id]:[customer_zone]])=0,tblDelivery[[#This Row],[delivery_time_min]]&gt;0,tblDelivery[[#This Row],[distance_km]]&gt;0,tblDelivery[[#This Row],[route_length_km]]&gt;=tblDelivery[[#This Row],[distance_km]]*0.99,COUNTIFS(tblDelivery[order_id],tblDelivery[[#This Row],[order_id]])=1),1,0)</f>
        <v>1</v>
      </c>
      <c r="O41" s="8">
        <f>SUBTOTAL(103,tblDelivery[[#This Row],[order_id]])</f>
        <v>1</v>
      </c>
      <c r="P41" s="8" t="str" cm="1">
        <f t="array" ref="P41">_xlfn.IFS(tblDelivery[[#This Row],[distance_km]]&lt;2,"&lt; 2 km",tblDelivery[[#This Row],[distance_km]]&lt;5,"2 to 5 km",tblDelivery[[#This Row],[distance_km]]&lt;10,"5 to 10 km",TRUE,"10 km and above")</f>
        <v>5 to 10 km</v>
      </c>
      <c r="Q41" s="8" t="str" cm="1">
        <f t="array" ref="Q41">_xlfn.IFS(tblDelivery[[#This Row],[route_length_km]]&lt;2,"&lt;2 km",tblDelivery[[#This Row],[route_length_km]]&lt;5,"2 to 5 km",tblDelivery[[#This Row],[route_length_km]]&lt;10,"5 to 10 km",TRUE,"10 km and above")</f>
        <v>5 to 10 km</v>
      </c>
      <c r="T41" s="8"/>
    </row>
    <row r="42" spans="1:20" x14ac:dyDescent="0.25">
      <c r="A42" s="6">
        <v>41</v>
      </c>
      <c r="B42" s="2">
        <v>9.7200000000000006</v>
      </c>
      <c r="C42" s="8">
        <v>44.8</v>
      </c>
      <c r="D42" s="3" t="s">
        <v>18</v>
      </c>
      <c r="E42" s="2">
        <v>10.210000000000001</v>
      </c>
      <c r="F42" t="s">
        <v>11</v>
      </c>
      <c r="G42" t="s">
        <v>16</v>
      </c>
      <c r="H42" s="1">
        <v>45661.371527777781</v>
      </c>
      <c r="I42" t="s">
        <v>13</v>
      </c>
      <c r="J42" t="s">
        <v>21</v>
      </c>
      <c r="K42" s="10">
        <f>INT(tblDelivery[[#This Row],[order_time]])</f>
        <v>45661</v>
      </c>
      <c r="L42" s="8">
        <f>HOUR(tblDelivery[[#This Row],[order_time]])</f>
        <v>8</v>
      </c>
      <c r="M42">
        <f>IF(tblDelivery[[#This Row],[delivery_time_min]]&lt;=Time_Target,1,0)</f>
        <v>1</v>
      </c>
      <c r="N42" s="8">
        <f>IF(AND(COUNTBLANK(tblDelivery[[#This Row],[order_id]:[customer_zone]])=0,tblDelivery[[#This Row],[delivery_time_min]]&gt;0,tblDelivery[[#This Row],[distance_km]]&gt;0,tblDelivery[[#This Row],[route_length_km]]&gt;=tblDelivery[[#This Row],[distance_km]]*0.99,COUNTIFS(tblDelivery[order_id],tblDelivery[[#This Row],[order_id]])=1),1,0)</f>
        <v>1</v>
      </c>
      <c r="O42" s="8">
        <f>SUBTOTAL(103,tblDelivery[[#This Row],[order_id]])</f>
        <v>1</v>
      </c>
      <c r="P42" s="8" t="str" cm="1">
        <f t="array" ref="P42">_xlfn.IFS(tblDelivery[[#This Row],[distance_km]]&lt;2,"&lt; 2 km",tblDelivery[[#This Row],[distance_km]]&lt;5,"2 to 5 km",tblDelivery[[#This Row],[distance_km]]&lt;10,"5 to 10 km",TRUE,"10 km and above")</f>
        <v>5 to 10 km</v>
      </c>
      <c r="Q42" s="8" t="str" cm="1">
        <f t="array" ref="Q42">_xlfn.IFS(tblDelivery[[#This Row],[route_length_km]]&lt;2,"&lt;2 km",tblDelivery[[#This Row],[route_length_km]]&lt;5,"2 to 5 km",tblDelivery[[#This Row],[route_length_km]]&lt;10,"5 to 10 km",TRUE,"10 km and above")</f>
        <v>10 km and above</v>
      </c>
      <c r="T42" s="8"/>
    </row>
    <row r="43" spans="1:20" x14ac:dyDescent="0.25">
      <c r="A43" s="6">
        <v>42</v>
      </c>
      <c r="B43" s="2">
        <v>7.62</v>
      </c>
      <c r="C43" s="8">
        <v>59.5</v>
      </c>
      <c r="D43" s="3" t="s">
        <v>18</v>
      </c>
      <c r="E43" s="2">
        <v>10.27</v>
      </c>
      <c r="F43" t="s">
        <v>23</v>
      </c>
      <c r="G43" t="s">
        <v>16</v>
      </c>
      <c r="H43" s="1">
        <v>45661.457638888889</v>
      </c>
      <c r="I43" t="s">
        <v>17</v>
      </c>
      <c r="J43" t="s">
        <v>14</v>
      </c>
      <c r="K43" s="10">
        <f>INT(tblDelivery[[#This Row],[order_time]])</f>
        <v>45661</v>
      </c>
      <c r="L43" s="8">
        <f>HOUR(tblDelivery[[#This Row],[order_time]])</f>
        <v>10</v>
      </c>
      <c r="M43">
        <f>IF(tblDelivery[[#This Row],[delivery_time_min]]&lt;=Time_Target,1,0)</f>
        <v>0</v>
      </c>
      <c r="N43" s="8">
        <f>IF(AND(COUNTBLANK(tblDelivery[[#This Row],[order_id]:[customer_zone]])=0,tblDelivery[[#This Row],[delivery_time_min]]&gt;0,tblDelivery[[#This Row],[distance_km]]&gt;0,tblDelivery[[#This Row],[route_length_km]]&gt;=tblDelivery[[#This Row],[distance_km]]*0.99,COUNTIFS(tblDelivery[order_id],tblDelivery[[#This Row],[order_id]])=1),1,0)</f>
        <v>1</v>
      </c>
      <c r="O43" s="8">
        <f>SUBTOTAL(103,tblDelivery[[#This Row],[order_id]])</f>
        <v>1</v>
      </c>
      <c r="P43" s="8" t="str" cm="1">
        <f t="array" ref="P43">_xlfn.IFS(tblDelivery[[#This Row],[distance_km]]&lt;2,"&lt; 2 km",tblDelivery[[#This Row],[distance_km]]&lt;5,"2 to 5 km",tblDelivery[[#This Row],[distance_km]]&lt;10,"5 to 10 km",TRUE,"10 km and above")</f>
        <v>5 to 10 km</v>
      </c>
      <c r="Q43" s="8" t="str" cm="1">
        <f t="array" ref="Q43">_xlfn.IFS(tblDelivery[[#This Row],[route_length_km]]&lt;2,"&lt;2 km",tblDelivery[[#This Row],[route_length_km]]&lt;5,"2 to 5 km",tblDelivery[[#This Row],[route_length_km]]&lt;10,"5 to 10 km",TRUE,"10 km and above")</f>
        <v>10 km and above</v>
      </c>
      <c r="T43" s="8"/>
    </row>
    <row r="44" spans="1:20" x14ac:dyDescent="0.25">
      <c r="A44" s="6">
        <v>43</v>
      </c>
      <c r="B44" s="2">
        <v>2.16</v>
      </c>
      <c r="C44" s="8">
        <v>10</v>
      </c>
      <c r="D44" s="3" t="s">
        <v>10</v>
      </c>
      <c r="E44" s="2">
        <v>2.2599999999999998</v>
      </c>
      <c r="F44" t="s">
        <v>23</v>
      </c>
      <c r="G44" t="s">
        <v>20</v>
      </c>
      <c r="H44" s="1">
        <v>45661.532638888886</v>
      </c>
      <c r="I44" t="s">
        <v>25</v>
      </c>
      <c r="J44" t="s">
        <v>25</v>
      </c>
      <c r="K44" s="10">
        <f>INT(tblDelivery[[#This Row],[order_time]])</f>
        <v>45661</v>
      </c>
      <c r="L44" s="8">
        <f>HOUR(tblDelivery[[#This Row],[order_time]])</f>
        <v>12</v>
      </c>
      <c r="M44">
        <f>IF(tblDelivery[[#This Row],[delivery_time_min]]&lt;=Time_Target,1,0)</f>
        <v>1</v>
      </c>
      <c r="N44" s="8">
        <f>IF(AND(COUNTBLANK(tblDelivery[[#This Row],[order_id]:[customer_zone]])=0,tblDelivery[[#This Row],[delivery_time_min]]&gt;0,tblDelivery[[#This Row],[distance_km]]&gt;0,tblDelivery[[#This Row],[route_length_km]]&gt;=tblDelivery[[#This Row],[distance_km]]*0.99,COUNTIFS(tblDelivery[order_id],tblDelivery[[#This Row],[order_id]])=1),1,0)</f>
        <v>1</v>
      </c>
      <c r="O44" s="8">
        <f>SUBTOTAL(103,tblDelivery[[#This Row],[order_id]])</f>
        <v>1</v>
      </c>
      <c r="P44" s="8" t="str" cm="1">
        <f t="array" ref="P44">_xlfn.IFS(tblDelivery[[#This Row],[distance_km]]&lt;2,"&lt; 2 km",tblDelivery[[#This Row],[distance_km]]&lt;5,"2 to 5 km",tblDelivery[[#This Row],[distance_km]]&lt;10,"5 to 10 km",TRUE,"10 km and above")</f>
        <v>2 to 5 km</v>
      </c>
      <c r="Q44" s="8" t="str" cm="1">
        <f t="array" ref="Q44">_xlfn.IFS(tblDelivery[[#This Row],[route_length_km]]&lt;2,"&lt;2 km",tblDelivery[[#This Row],[route_length_km]]&lt;5,"2 to 5 km",tblDelivery[[#This Row],[route_length_km]]&lt;10,"5 to 10 km",TRUE,"10 km and above")</f>
        <v>2 to 5 km</v>
      </c>
      <c r="T44" s="8"/>
    </row>
    <row r="45" spans="1:20" x14ac:dyDescent="0.25">
      <c r="A45" s="6">
        <v>44</v>
      </c>
      <c r="B45" s="2">
        <v>10.77</v>
      </c>
      <c r="C45" s="8">
        <v>87.3</v>
      </c>
      <c r="D45" s="3" t="s">
        <v>10</v>
      </c>
      <c r="E45" s="2">
        <v>13.53</v>
      </c>
      <c r="F45" t="s">
        <v>15</v>
      </c>
      <c r="G45" t="s">
        <v>24</v>
      </c>
      <c r="H45" s="1">
        <v>45661.401388888888</v>
      </c>
      <c r="I45" t="s">
        <v>17</v>
      </c>
      <c r="J45" t="s">
        <v>25</v>
      </c>
      <c r="K45" s="10">
        <f>INT(tblDelivery[[#This Row],[order_time]])</f>
        <v>45661</v>
      </c>
      <c r="L45" s="8">
        <f>HOUR(tblDelivery[[#This Row],[order_time]])</f>
        <v>9</v>
      </c>
      <c r="M45">
        <f>IF(tblDelivery[[#This Row],[delivery_time_min]]&lt;=Time_Target,1,0)</f>
        <v>0</v>
      </c>
      <c r="N45" s="8">
        <f>IF(AND(COUNTBLANK(tblDelivery[[#This Row],[order_id]:[customer_zone]])=0,tblDelivery[[#This Row],[delivery_time_min]]&gt;0,tblDelivery[[#This Row],[distance_km]]&gt;0,tblDelivery[[#This Row],[route_length_km]]&gt;=tblDelivery[[#This Row],[distance_km]]*0.99,COUNTIFS(tblDelivery[order_id],tblDelivery[[#This Row],[order_id]])=1),1,0)</f>
        <v>1</v>
      </c>
      <c r="O45" s="8">
        <f>SUBTOTAL(103,tblDelivery[[#This Row],[order_id]])</f>
        <v>1</v>
      </c>
      <c r="P45" s="8" t="str" cm="1">
        <f t="array" ref="P45">_xlfn.IFS(tblDelivery[[#This Row],[distance_km]]&lt;2,"&lt; 2 km",tblDelivery[[#This Row],[distance_km]]&lt;5,"2 to 5 km",tblDelivery[[#This Row],[distance_km]]&lt;10,"5 to 10 km",TRUE,"10 km and above")</f>
        <v>10 km and above</v>
      </c>
      <c r="Q45" s="8" t="str" cm="1">
        <f t="array" ref="Q45">_xlfn.IFS(tblDelivery[[#This Row],[route_length_km]]&lt;2,"&lt;2 km",tblDelivery[[#This Row],[route_length_km]]&lt;5,"2 to 5 km",tblDelivery[[#This Row],[route_length_km]]&lt;10,"5 to 10 km",TRUE,"10 km and above")</f>
        <v>10 km and above</v>
      </c>
      <c r="T45" s="8"/>
    </row>
    <row r="46" spans="1:20" x14ac:dyDescent="0.25">
      <c r="A46" s="6">
        <v>45</v>
      </c>
      <c r="B46" s="2">
        <v>5.26</v>
      </c>
      <c r="C46" s="8">
        <v>39.299999999999997</v>
      </c>
      <c r="D46" s="3" t="s">
        <v>18</v>
      </c>
      <c r="E46" s="2">
        <v>6.47</v>
      </c>
      <c r="F46" t="s">
        <v>19</v>
      </c>
      <c r="G46" t="s">
        <v>24</v>
      </c>
      <c r="H46" s="1">
        <v>45659.206250000003</v>
      </c>
      <c r="I46" t="s">
        <v>14</v>
      </c>
      <c r="J46" t="s">
        <v>17</v>
      </c>
      <c r="K46" s="10">
        <f>INT(tblDelivery[[#This Row],[order_time]])</f>
        <v>45659</v>
      </c>
      <c r="L46" s="8">
        <f>HOUR(tblDelivery[[#This Row],[order_time]])</f>
        <v>4</v>
      </c>
      <c r="M46">
        <f>IF(tblDelivery[[#This Row],[delivery_time_min]]&lt;=Time_Target,1,0)</f>
        <v>1</v>
      </c>
      <c r="N46" s="8">
        <f>IF(AND(COUNTBLANK(tblDelivery[[#This Row],[order_id]:[customer_zone]])=0,tblDelivery[[#This Row],[delivery_time_min]]&gt;0,tblDelivery[[#This Row],[distance_km]]&gt;0,tblDelivery[[#This Row],[route_length_km]]&gt;=tblDelivery[[#This Row],[distance_km]]*0.99,COUNTIFS(tblDelivery[order_id],tblDelivery[[#This Row],[order_id]])=1),1,0)</f>
        <v>1</v>
      </c>
      <c r="O46" s="8">
        <f>SUBTOTAL(103,tblDelivery[[#This Row],[order_id]])</f>
        <v>1</v>
      </c>
      <c r="P46" s="8" t="str" cm="1">
        <f t="array" ref="P46">_xlfn.IFS(tblDelivery[[#This Row],[distance_km]]&lt;2,"&lt; 2 km",tblDelivery[[#This Row],[distance_km]]&lt;5,"2 to 5 km",tblDelivery[[#This Row],[distance_km]]&lt;10,"5 to 10 km",TRUE,"10 km and above")</f>
        <v>5 to 10 km</v>
      </c>
      <c r="Q46" s="8" t="str" cm="1">
        <f t="array" ref="Q46">_xlfn.IFS(tblDelivery[[#This Row],[route_length_km]]&lt;2,"&lt;2 km",tblDelivery[[#This Row],[route_length_km]]&lt;5,"2 to 5 km",tblDelivery[[#This Row],[route_length_km]]&lt;10,"5 to 10 km",TRUE,"10 km and above")</f>
        <v>5 to 10 km</v>
      </c>
      <c r="T46" s="8"/>
    </row>
    <row r="47" spans="1:20" x14ac:dyDescent="0.25">
      <c r="A47" s="6">
        <v>46</v>
      </c>
      <c r="B47" s="2">
        <v>4.24</v>
      </c>
      <c r="C47" s="8">
        <v>30</v>
      </c>
      <c r="D47" s="3" t="s">
        <v>10</v>
      </c>
      <c r="E47" s="2">
        <v>4.33</v>
      </c>
      <c r="F47" t="s">
        <v>15</v>
      </c>
      <c r="G47" t="s">
        <v>20</v>
      </c>
      <c r="H47" s="1">
        <v>45660.149305555555</v>
      </c>
      <c r="I47" t="s">
        <v>13</v>
      </c>
      <c r="J47" t="s">
        <v>14</v>
      </c>
      <c r="K47" s="10">
        <f>INT(tblDelivery[[#This Row],[order_time]])</f>
        <v>45660</v>
      </c>
      <c r="L47" s="8">
        <f>HOUR(tblDelivery[[#This Row],[order_time]])</f>
        <v>3</v>
      </c>
      <c r="M47">
        <f>IF(tblDelivery[[#This Row],[delivery_time_min]]&lt;=Time_Target,1,0)</f>
        <v>1</v>
      </c>
      <c r="N47" s="8">
        <f>IF(AND(COUNTBLANK(tblDelivery[[#This Row],[order_id]:[customer_zone]])=0,tblDelivery[[#This Row],[delivery_time_min]]&gt;0,tblDelivery[[#This Row],[distance_km]]&gt;0,tblDelivery[[#This Row],[route_length_km]]&gt;=tblDelivery[[#This Row],[distance_km]]*0.99,COUNTIFS(tblDelivery[order_id],tblDelivery[[#This Row],[order_id]])=1),1,0)</f>
        <v>1</v>
      </c>
      <c r="O47" s="8">
        <f>SUBTOTAL(103,tblDelivery[[#This Row],[order_id]])</f>
        <v>1</v>
      </c>
      <c r="P47" s="8" t="str" cm="1">
        <f t="array" ref="P47">_xlfn.IFS(tblDelivery[[#This Row],[distance_km]]&lt;2,"&lt; 2 km",tblDelivery[[#This Row],[distance_km]]&lt;5,"2 to 5 km",tblDelivery[[#This Row],[distance_km]]&lt;10,"5 to 10 km",TRUE,"10 km and above")</f>
        <v>2 to 5 km</v>
      </c>
      <c r="Q47" s="8" t="str" cm="1">
        <f t="array" ref="Q47">_xlfn.IFS(tblDelivery[[#This Row],[route_length_km]]&lt;2,"&lt;2 km",tblDelivery[[#This Row],[route_length_km]]&lt;5,"2 to 5 km",tblDelivery[[#This Row],[route_length_km]]&lt;10,"5 to 10 km",TRUE,"10 km and above")</f>
        <v>2 to 5 km</v>
      </c>
      <c r="T47" s="8"/>
    </row>
    <row r="48" spans="1:20" x14ac:dyDescent="0.25">
      <c r="A48" s="6">
        <v>47</v>
      </c>
      <c r="B48" s="2">
        <v>9.56</v>
      </c>
      <c r="C48" s="8">
        <v>60.9</v>
      </c>
      <c r="D48" s="3" t="s">
        <v>22</v>
      </c>
      <c r="E48" s="2">
        <v>12.64</v>
      </c>
      <c r="F48" t="s">
        <v>23</v>
      </c>
      <c r="G48" t="s">
        <v>20</v>
      </c>
      <c r="H48" s="1">
        <v>45660.450694444444</v>
      </c>
      <c r="I48" t="s">
        <v>21</v>
      </c>
      <c r="J48" t="s">
        <v>21</v>
      </c>
      <c r="K48" s="10">
        <f>INT(tblDelivery[[#This Row],[order_time]])</f>
        <v>45660</v>
      </c>
      <c r="L48" s="8">
        <f>HOUR(tblDelivery[[#This Row],[order_time]])</f>
        <v>10</v>
      </c>
      <c r="M48">
        <f>IF(tblDelivery[[#This Row],[delivery_time_min]]&lt;=Time_Target,1,0)</f>
        <v>0</v>
      </c>
      <c r="N48" s="8">
        <f>IF(AND(COUNTBLANK(tblDelivery[[#This Row],[order_id]:[customer_zone]])=0,tblDelivery[[#This Row],[delivery_time_min]]&gt;0,tblDelivery[[#This Row],[distance_km]]&gt;0,tblDelivery[[#This Row],[route_length_km]]&gt;=tblDelivery[[#This Row],[distance_km]]*0.99,COUNTIFS(tblDelivery[order_id],tblDelivery[[#This Row],[order_id]])=1),1,0)</f>
        <v>1</v>
      </c>
      <c r="O48" s="8">
        <f>SUBTOTAL(103,tblDelivery[[#This Row],[order_id]])</f>
        <v>1</v>
      </c>
      <c r="P48" s="8" t="str" cm="1">
        <f t="array" ref="P48">_xlfn.IFS(tblDelivery[[#This Row],[distance_km]]&lt;2,"&lt; 2 km",tblDelivery[[#This Row],[distance_km]]&lt;5,"2 to 5 km",tblDelivery[[#This Row],[distance_km]]&lt;10,"5 to 10 km",TRUE,"10 km and above")</f>
        <v>5 to 10 km</v>
      </c>
      <c r="Q48" s="8" t="str" cm="1">
        <f t="array" ref="Q48">_xlfn.IFS(tblDelivery[[#This Row],[route_length_km]]&lt;2,"&lt;2 km",tblDelivery[[#This Row],[route_length_km]]&lt;5,"2 to 5 km",tblDelivery[[#This Row],[route_length_km]]&lt;10,"5 to 10 km",TRUE,"10 km and above")</f>
        <v>10 km and above</v>
      </c>
      <c r="T48" s="8"/>
    </row>
    <row r="49" spans="1:20" x14ac:dyDescent="0.25">
      <c r="A49" s="6">
        <v>48</v>
      </c>
      <c r="B49" s="2">
        <v>2.44</v>
      </c>
      <c r="C49" s="8">
        <v>15.1</v>
      </c>
      <c r="D49" s="3" t="s">
        <v>10</v>
      </c>
      <c r="E49" s="2">
        <v>2.92</v>
      </c>
      <c r="F49" t="s">
        <v>11</v>
      </c>
      <c r="G49" t="s">
        <v>24</v>
      </c>
      <c r="H49" s="1">
        <v>45660.628472222219</v>
      </c>
      <c r="I49" t="s">
        <v>13</v>
      </c>
      <c r="J49" t="s">
        <v>21</v>
      </c>
      <c r="K49" s="10">
        <f>INT(tblDelivery[[#This Row],[order_time]])</f>
        <v>45660</v>
      </c>
      <c r="L49" s="8">
        <f>HOUR(tblDelivery[[#This Row],[order_time]])</f>
        <v>15</v>
      </c>
      <c r="M49">
        <f>IF(tblDelivery[[#This Row],[delivery_time_min]]&lt;=Time_Target,1,0)</f>
        <v>1</v>
      </c>
      <c r="N49" s="8">
        <f>IF(AND(COUNTBLANK(tblDelivery[[#This Row],[order_id]:[customer_zone]])=0,tblDelivery[[#This Row],[delivery_time_min]]&gt;0,tblDelivery[[#This Row],[distance_km]]&gt;0,tblDelivery[[#This Row],[route_length_km]]&gt;=tblDelivery[[#This Row],[distance_km]]*0.99,COUNTIFS(tblDelivery[order_id],tblDelivery[[#This Row],[order_id]])=1),1,0)</f>
        <v>1</v>
      </c>
      <c r="O49" s="8">
        <f>SUBTOTAL(103,tblDelivery[[#This Row],[order_id]])</f>
        <v>1</v>
      </c>
      <c r="P49" s="8" t="str" cm="1">
        <f t="array" ref="P49">_xlfn.IFS(tblDelivery[[#This Row],[distance_km]]&lt;2,"&lt; 2 km",tblDelivery[[#This Row],[distance_km]]&lt;5,"2 to 5 km",tblDelivery[[#This Row],[distance_km]]&lt;10,"5 to 10 km",TRUE,"10 km and above")</f>
        <v>2 to 5 km</v>
      </c>
      <c r="Q49" s="8" t="str" cm="1">
        <f t="array" ref="Q49">_xlfn.IFS(tblDelivery[[#This Row],[route_length_km]]&lt;2,"&lt;2 km",tblDelivery[[#This Row],[route_length_km]]&lt;5,"2 to 5 km",tblDelivery[[#This Row],[route_length_km]]&lt;10,"5 to 10 km",TRUE,"10 km and above")</f>
        <v>2 to 5 km</v>
      </c>
      <c r="T49" s="8"/>
    </row>
    <row r="50" spans="1:20" x14ac:dyDescent="0.25">
      <c r="A50" s="6">
        <v>49</v>
      </c>
      <c r="B50" s="2">
        <v>4.4000000000000004</v>
      </c>
      <c r="C50" s="8">
        <v>23.9</v>
      </c>
      <c r="D50" s="3" t="s">
        <v>10</v>
      </c>
      <c r="E50" s="2">
        <v>4.82</v>
      </c>
      <c r="F50" t="s">
        <v>23</v>
      </c>
      <c r="G50" t="s">
        <v>16</v>
      </c>
      <c r="H50" s="1">
        <v>45659.138194444444</v>
      </c>
      <c r="I50" t="s">
        <v>21</v>
      </c>
      <c r="J50" t="s">
        <v>21</v>
      </c>
      <c r="K50" s="10">
        <f>INT(tblDelivery[[#This Row],[order_time]])</f>
        <v>45659</v>
      </c>
      <c r="L50" s="8">
        <f>HOUR(tblDelivery[[#This Row],[order_time]])</f>
        <v>3</v>
      </c>
      <c r="M50">
        <f>IF(tblDelivery[[#This Row],[delivery_time_min]]&lt;=Time_Target,1,0)</f>
        <v>1</v>
      </c>
      <c r="N50" s="8">
        <f>IF(AND(COUNTBLANK(tblDelivery[[#This Row],[order_id]:[customer_zone]])=0,tblDelivery[[#This Row],[delivery_time_min]]&gt;0,tblDelivery[[#This Row],[distance_km]]&gt;0,tblDelivery[[#This Row],[route_length_km]]&gt;=tblDelivery[[#This Row],[distance_km]]*0.99,COUNTIFS(tblDelivery[order_id],tblDelivery[[#This Row],[order_id]])=1),1,0)</f>
        <v>1</v>
      </c>
      <c r="O50" s="8">
        <f>SUBTOTAL(103,tblDelivery[[#This Row],[order_id]])</f>
        <v>1</v>
      </c>
      <c r="P50" s="8" t="str" cm="1">
        <f t="array" ref="P50">_xlfn.IFS(tblDelivery[[#This Row],[distance_km]]&lt;2,"&lt; 2 km",tblDelivery[[#This Row],[distance_km]]&lt;5,"2 to 5 km",tblDelivery[[#This Row],[distance_km]]&lt;10,"5 to 10 km",TRUE,"10 km and above")</f>
        <v>2 to 5 km</v>
      </c>
      <c r="Q50" s="8" t="str" cm="1">
        <f t="array" ref="Q50">_xlfn.IFS(tblDelivery[[#This Row],[route_length_km]]&lt;2,"&lt;2 km",tblDelivery[[#This Row],[route_length_km]]&lt;5,"2 to 5 km",tblDelivery[[#This Row],[route_length_km]]&lt;10,"5 to 10 km",TRUE,"10 km and above")</f>
        <v>2 to 5 km</v>
      </c>
      <c r="T50" s="8"/>
    </row>
    <row r="51" spans="1:20" x14ac:dyDescent="0.25">
      <c r="A51" s="6">
        <v>50</v>
      </c>
      <c r="B51" s="2">
        <v>3.21</v>
      </c>
      <c r="C51" s="8">
        <v>20.100000000000001</v>
      </c>
      <c r="D51" s="3" t="s">
        <v>22</v>
      </c>
      <c r="E51" s="2">
        <v>4.57</v>
      </c>
      <c r="F51" t="s">
        <v>19</v>
      </c>
      <c r="G51" t="s">
        <v>20</v>
      </c>
      <c r="H51" s="1">
        <v>45659.836111111108</v>
      </c>
      <c r="I51" t="s">
        <v>25</v>
      </c>
      <c r="J51" t="s">
        <v>25</v>
      </c>
      <c r="K51" s="10">
        <f>INT(tblDelivery[[#This Row],[order_time]])</f>
        <v>45659</v>
      </c>
      <c r="L51" s="8">
        <f>HOUR(tblDelivery[[#This Row],[order_time]])</f>
        <v>20</v>
      </c>
      <c r="M51">
        <f>IF(tblDelivery[[#This Row],[delivery_time_min]]&lt;=Time_Target,1,0)</f>
        <v>1</v>
      </c>
      <c r="N51" s="8">
        <f>IF(AND(COUNTBLANK(tblDelivery[[#This Row],[order_id]:[customer_zone]])=0,tblDelivery[[#This Row],[delivery_time_min]]&gt;0,tblDelivery[[#This Row],[distance_km]]&gt;0,tblDelivery[[#This Row],[route_length_km]]&gt;=tblDelivery[[#This Row],[distance_km]]*0.99,COUNTIFS(tblDelivery[order_id],tblDelivery[[#This Row],[order_id]])=1),1,0)</f>
        <v>1</v>
      </c>
      <c r="O51" s="8">
        <f>SUBTOTAL(103,tblDelivery[[#This Row],[order_id]])</f>
        <v>1</v>
      </c>
      <c r="P51" s="8" t="str" cm="1">
        <f t="array" ref="P51">_xlfn.IFS(tblDelivery[[#This Row],[distance_km]]&lt;2,"&lt; 2 km",tblDelivery[[#This Row],[distance_km]]&lt;5,"2 to 5 km",tblDelivery[[#This Row],[distance_km]]&lt;10,"5 to 10 km",TRUE,"10 km and above")</f>
        <v>2 to 5 km</v>
      </c>
      <c r="Q51" s="8" t="str" cm="1">
        <f t="array" ref="Q51">_xlfn.IFS(tblDelivery[[#This Row],[route_length_km]]&lt;2,"&lt;2 km",tblDelivery[[#This Row],[route_length_km]]&lt;5,"2 to 5 km",tblDelivery[[#This Row],[route_length_km]]&lt;10,"5 to 10 km",TRUE,"10 km and above")</f>
        <v>2 to 5 km</v>
      </c>
      <c r="T51" s="8"/>
    </row>
    <row r="52" spans="1:20" x14ac:dyDescent="0.25">
      <c r="A52" s="6">
        <v>51</v>
      </c>
      <c r="B52" s="2">
        <v>10.24</v>
      </c>
      <c r="C52" s="8">
        <v>65.099999999999994</v>
      </c>
      <c r="D52" s="3" t="s">
        <v>10</v>
      </c>
      <c r="E52" s="2">
        <v>12.4</v>
      </c>
      <c r="F52" t="s">
        <v>19</v>
      </c>
      <c r="G52" t="s">
        <v>12</v>
      </c>
      <c r="H52" s="1">
        <v>45660.298611111109</v>
      </c>
      <c r="I52" t="s">
        <v>25</v>
      </c>
      <c r="J52" t="s">
        <v>14</v>
      </c>
      <c r="K52" s="10">
        <f>INT(tblDelivery[[#This Row],[order_time]])</f>
        <v>45660</v>
      </c>
      <c r="L52" s="8">
        <f>HOUR(tblDelivery[[#This Row],[order_time]])</f>
        <v>7</v>
      </c>
      <c r="M52">
        <f>IF(tblDelivery[[#This Row],[delivery_time_min]]&lt;=Time_Target,1,0)</f>
        <v>0</v>
      </c>
      <c r="N52" s="8">
        <f>IF(AND(COUNTBLANK(tblDelivery[[#This Row],[order_id]:[customer_zone]])=0,tblDelivery[[#This Row],[delivery_time_min]]&gt;0,tblDelivery[[#This Row],[distance_km]]&gt;0,tblDelivery[[#This Row],[route_length_km]]&gt;=tblDelivery[[#This Row],[distance_km]]*0.99,COUNTIFS(tblDelivery[order_id],tblDelivery[[#This Row],[order_id]])=1),1,0)</f>
        <v>1</v>
      </c>
      <c r="O52" s="8">
        <f>SUBTOTAL(103,tblDelivery[[#This Row],[order_id]])</f>
        <v>1</v>
      </c>
      <c r="P52" s="8" t="str" cm="1">
        <f t="array" ref="P52">_xlfn.IFS(tblDelivery[[#This Row],[distance_km]]&lt;2,"&lt; 2 km",tblDelivery[[#This Row],[distance_km]]&lt;5,"2 to 5 km",tblDelivery[[#This Row],[distance_km]]&lt;10,"5 to 10 km",TRUE,"10 km and above")</f>
        <v>10 km and above</v>
      </c>
      <c r="Q52" s="8" t="str" cm="1">
        <f t="array" ref="Q52">_xlfn.IFS(tblDelivery[[#This Row],[route_length_km]]&lt;2,"&lt;2 km",tblDelivery[[#This Row],[route_length_km]]&lt;5,"2 to 5 km",tblDelivery[[#This Row],[route_length_km]]&lt;10,"5 to 10 km",TRUE,"10 km and above")</f>
        <v>10 km and above</v>
      </c>
      <c r="T52" s="8"/>
    </row>
    <row r="53" spans="1:20" x14ac:dyDescent="0.25">
      <c r="A53" s="6">
        <v>52</v>
      </c>
      <c r="B53" s="2">
        <v>2.63</v>
      </c>
      <c r="C53" s="8">
        <v>19.7</v>
      </c>
      <c r="D53" s="3" t="s">
        <v>22</v>
      </c>
      <c r="E53" s="2">
        <v>2.98</v>
      </c>
      <c r="F53" t="s">
        <v>23</v>
      </c>
      <c r="G53" t="s">
        <v>16</v>
      </c>
      <c r="H53" s="1">
        <v>45660.461805555555</v>
      </c>
      <c r="I53" t="s">
        <v>21</v>
      </c>
      <c r="J53" t="s">
        <v>13</v>
      </c>
      <c r="K53" s="10">
        <f>INT(tblDelivery[[#This Row],[order_time]])</f>
        <v>45660</v>
      </c>
      <c r="L53" s="8">
        <f>HOUR(tblDelivery[[#This Row],[order_time]])</f>
        <v>11</v>
      </c>
      <c r="M53">
        <f>IF(tblDelivery[[#This Row],[delivery_time_min]]&lt;=Time_Target,1,0)</f>
        <v>1</v>
      </c>
      <c r="N53" s="8">
        <f>IF(AND(COUNTBLANK(tblDelivery[[#This Row],[order_id]:[customer_zone]])=0,tblDelivery[[#This Row],[delivery_time_min]]&gt;0,tblDelivery[[#This Row],[distance_km]]&gt;0,tblDelivery[[#This Row],[route_length_km]]&gt;=tblDelivery[[#This Row],[distance_km]]*0.99,COUNTIFS(tblDelivery[order_id],tblDelivery[[#This Row],[order_id]])=1),1,0)</f>
        <v>1</v>
      </c>
      <c r="O53" s="8">
        <f>SUBTOTAL(103,tblDelivery[[#This Row],[order_id]])</f>
        <v>1</v>
      </c>
      <c r="P53" s="8" t="str" cm="1">
        <f t="array" ref="P53">_xlfn.IFS(tblDelivery[[#This Row],[distance_km]]&lt;2,"&lt; 2 km",tblDelivery[[#This Row],[distance_km]]&lt;5,"2 to 5 km",tblDelivery[[#This Row],[distance_km]]&lt;10,"5 to 10 km",TRUE,"10 km and above")</f>
        <v>2 to 5 km</v>
      </c>
      <c r="Q53" s="8" t="str" cm="1">
        <f t="array" ref="Q53">_xlfn.IFS(tblDelivery[[#This Row],[route_length_km]]&lt;2,"&lt;2 km",tblDelivery[[#This Row],[route_length_km]]&lt;5,"2 to 5 km",tblDelivery[[#This Row],[route_length_km]]&lt;10,"5 to 10 km",TRUE,"10 km and above")</f>
        <v>2 to 5 km</v>
      </c>
      <c r="T53" s="8"/>
    </row>
    <row r="54" spans="1:20" x14ac:dyDescent="0.25">
      <c r="A54" s="6">
        <v>53</v>
      </c>
      <c r="B54" s="2">
        <v>11.55</v>
      </c>
      <c r="C54" s="8">
        <v>78.099999999999994</v>
      </c>
      <c r="D54" s="3" t="s">
        <v>22</v>
      </c>
      <c r="E54" s="2">
        <v>14.7</v>
      </c>
      <c r="F54" t="s">
        <v>19</v>
      </c>
      <c r="G54" t="s">
        <v>20</v>
      </c>
      <c r="H54" s="1">
        <v>45659.341666666667</v>
      </c>
      <c r="I54" t="s">
        <v>25</v>
      </c>
      <c r="J54" t="s">
        <v>25</v>
      </c>
      <c r="K54" s="10">
        <f>INT(tblDelivery[[#This Row],[order_time]])</f>
        <v>45659</v>
      </c>
      <c r="L54" s="8">
        <f>HOUR(tblDelivery[[#This Row],[order_time]])</f>
        <v>8</v>
      </c>
      <c r="M54">
        <f>IF(tblDelivery[[#This Row],[delivery_time_min]]&lt;=Time_Target,1,0)</f>
        <v>0</v>
      </c>
      <c r="N54" s="8">
        <f>IF(AND(COUNTBLANK(tblDelivery[[#This Row],[order_id]:[customer_zone]])=0,tblDelivery[[#This Row],[delivery_time_min]]&gt;0,tblDelivery[[#This Row],[distance_km]]&gt;0,tblDelivery[[#This Row],[route_length_km]]&gt;=tblDelivery[[#This Row],[distance_km]]*0.99,COUNTIFS(tblDelivery[order_id],tblDelivery[[#This Row],[order_id]])=1),1,0)</f>
        <v>1</v>
      </c>
      <c r="O54" s="8">
        <f>SUBTOTAL(103,tblDelivery[[#This Row],[order_id]])</f>
        <v>1</v>
      </c>
      <c r="P54" s="8" t="str" cm="1">
        <f t="array" ref="P54">_xlfn.IFS(tblDelivery[[#This Row],[distance_km]]&lt;2,"&lt; 2 km",tblDelivery[[#This Row],[distance_km]]&lt;5,"2 to 5 km",tblDelivery[[#This Row],[distance_km]]&lt;10,"5 to 10 km",TRUE,"10 km and above")</f>
        <v>10 km and above</v>
      </c>
      <c r="Q54" s="8" t="str" cm="1">
        <f t="array" ref="Q54">_xlfn.IFS(tblDelivery[[#This Row],[route_length_km]]&lt;2,"&lt;2 km",tblDelivery[[#This Row],[route_length_km]]&lt;5,"2 to 5 km",tblDelivery[[#This Row],[route_length_km]]&lt;10,"5 to 10 km",TRUE,"10 km and above")</f>
        <v>10 km and above</v>
      </c>
      <c r="T54" s="8"/>
    </row>
    <row r="55" spans="1:20" x14ac:dyDescent="0.25">
      <c r="A55" s="6">
        <v>54</v>
      </c>
      <c r="B55" s="2">
        <v>1.36</v>
      </c>
      <c r="C55" s="8">
        <v>11.7</v>
      </c>
      <c r="D55" s="3" t="s">
        <v>22</v>
      </c>
      <c r="E55" s="2">
        <v>1.82</v>
      </c>
      <c r="F55" t="s">
        <v>19</v>
      </c>
      <c r="G55" t="s">
        <v>20</v>
      </c>
      <c r="H55" s="1">
        <v>45661.714583333334</v>
      </c>
      <c r="I55" t="s">
        <v>14</v>
      </c>
      <c r="J55" t="s">
        <v>17</v>
      </c>
      <c r="K55" s="10">
        <f>INT(tblDelivery[[#This Row],[order_time]])</f>
        <v>45661</v>
      </c>
      <c r="L55" s="8">
        <f>HOUR(tblDelivery[[#This Row],[order_time]])</f>
        <v>17</v>
      </c>
      <c r="M55">
        <f>IF(tblDelivery[[#This Row],[delivery_time_min]]&lt;=Time_Target,1,0)</f>
        <v>1</v>
      </c>
      <c r="N55" s="8">
        <f>IF(AND(COUNTBLANK(tblDelivery[[#This Row],[order_id]:[customer_zone]])=0,tblDelivery[[#This Row],[delivery_time_min]]&gt;0,tblDelivery[[#This Row],[distance_km]]&gt;0,tblDelivery[[#This Row],[route_length_km]]&gt;=tblDelivery[[#This Row],[distance_km]]*0.99,COUNTIFS(tblDelivery[order_id],tblDelivery[[#This Row],[order_id]])=1),1,0)</f>
        <v>1</v>
      </c>
      <c r="O55" s="8">
        <f>SUBTOTAL(103,tblDelivery[[#This Row],[order_id]])</f>
        <v>1</v>
      </c>
      <c r="P55" s="8" t="str" cm="1">
        <f t="array" ref="P55">_xlfn.IFS(tblDelivery[[#This Row],[distance_km]]&lt;2,"&lt; 2 km",tblDelivery[[#This Row],[distance_km]]&lt;5,"2 to 5 km",tblDelivery[[#This Row],[distance_km]]&lt;10,"5 to 10 km",TRUE,"10 km and above")</f>
        <v>&lt; 2 km</v>
      </c>
      <c r="Q55" s="8" t="str" cm="1">
        <f t="array" ref="Q55">_xlfn.IFS(tblDelivery[[#This Row],[route_length_km]]&lt;2,"&lt;2 km",tblDelivery[[#This Row],[route_length_km]]&lt;5,"2 to 5 km",tblDelivery[[#This Row],[route_length_km]]&lt;10,"5 to 10 km",TRUE,"10 km and above")</f>
        <v>&lt;2 km</v>
      </c>
      <c r="T55" s="8"/>
    </row>
    <row r="56" spans="1:20" x14ac:dyDescent="0.25">
      <c r="A56" s="6">
        <v>55</v>
      </c>
      <c r="B56" s="2">
        <v>1.74</v>
      </c>
      <c r="C56" s="8">
        <v>12.5</v>
      </c>
      <c r="D56" s="3" t="s">
        <v>22</v>
      </c>
      <c r="E56" s="2">
        <v>2.59</v>
      </c>
      <c r="F56" t="s">
        <v>23</v>
      </c>
      <c r="G56" t="s">
        <v>20</v>
      </c>
      <c r="H56" s="1">
        <v>45661.650694444441</v>
      </c>
      <c r="I56" t="s">
        <v>21</v>
      </c>
      <c r="J56" t="s">
        <v>13</v>
      </c>
      <c r="K56" s="10">
        <f>INT(tblDelivery[[#This Row],[order_time]])</f>
        <v>45661</v>
      </c>
      <c r="L56" s="8">
        <f>HOUR(tblDelivery[[#This Row],[order_time]])</f>
        <v>15</v>
      </c>
      <c r="M56">
        <f>IF(tblDelivery[[#This Row],[delivery_time_min]]&lt;=Time_Target,1,0)</f>
        <v>1</v>
      </c>
      <c r="N56" s="8">
        <f>IF(AND(COUNTBLANK(tblDelivery[[#This Row],[order_id]:[customer_zone]])=0,tblDelivery[[#This Row],[delivery_time_min]]&gt;0,tblDelivery[[#This Row],[distance_km]]&gt;0,tblDelivery[[#This Row],[route_length_km]]&gt;=tblDelivery[[#This Row],[distance_km]]*0.99,COUNTIFS(tblDelivery[order_id],tblDelivery[[#This Row],[order_id]])=1),1,0)</f>
        <v>1</v>
      </c>
      <c r="O56" s="8">
        <f>SUBTOTAL(103,tblDelivery[[#This Row],[order_id]])</f>
        <v>1</v>
      </c>
      <c r="P56" s="8" t="str" cm="1">
        <f t="array" ref="P56">_xlfn.IFS(tblDelivery[[#This Row],[distance_km]]&lt;2,"&lt; 2 km",tblDelivery[[#This Row],[distance_km]]&lt;5,"2 to 5 km",tblDelivery[[#This Row],[distance_km]]&lt;10,"5 to 10 km",TRUE,"10 km and above")</f>
        <v>&lt; 2 km</v>
      </c>
      <c r="Q56" s="8" t="str" cm="1">
        <f t="array" ref="Q56">_xlfn.IFS(tblDelivery[[#This Row],[route_length_km]]&lt;2,"&lt;2 km",tblDelivery[[#This Row],[route_length_km]]&lt;5,"2 to 5 km",tblDelivery[[#This Row],[route_length_km]]&lt;10,"5 to 10 km",TRUE,"10 km and above")</f>
        <v>2 to 5 km</v>
      </c>
      <c r="T56" s="8"/>
    </row>
    <row r="57" spans="1:20" x14ac:dyDescent="0.25">
      <c r="A57" s="6">
        <v>56</v>
      </c>
      <c r="B57" s="2">
        <v>1.1200000000000001</v>
      </c>
      <c r="C57" s="8">
        <v>7.3</v>
      </c>
      <c r="D57" s="3" t="s">
        <v>22</v>
      </c>
      <c r="E57" s="2">
        <v>1.44</v>
      </c>
      <c r="F57" t="s">
        <v>15</v>
      </c>
      <c r="G57" t="s">
        <v>20</v>
      </c>
      <c r="H57" s="1">
        <v>45659.759722222225</v>
      </c>
      <c r="I57" t="s">
        <v>14</v>
      </c>
      <c r="J57" t="s">
        <v>17</v>
      </c>
      <c r="K57" s="10">
        <f>INT(tblDelivery[[#This Row],[order_time]])</f>
        <v>45659</v>
      </c>
      <c r="L57" s="8">
        <f>HOUR(tblDelivery[[#This Row],[order_time]])</f>
        <v>18</v>
      </c>
      <c r="M57">
        <f>IF(tblDelivery[[#This Row],[delivery_time_min]]&lt;=Time_Target,1,0)</f>
        <v>1</v>
      </c>
      <c r="N57" s="8">
        <f>IF(AND(COUNTBLANK(tblDelivery[[#This Row],[order_id]:[customer_zone]])=0,tblDelivery[[#This Row],[delivery_time_min]]&gt;0,tblDelivery[[#This Row],[distance_km]]&gt;0,tblDelivery[[#This Row],[route_length_km]]&gt;=tblDelivery[[#This Row],[distance_km]]*0.99,COUNTIFS(tblDelivery[order_id],tblDelivery[[#This Row],[order_id]])=1),1,0)</f>
        <v>1</v>
      </c>
      <c r="O57" s="8">
        <f>SUBTOTAL(103,tblDelivery[[#This Row],[order_id]])</f>
        <v>1</v>
      </c>
      <c r="P57" s="8" t="str" cm="1">
        <f t="array" ref="P57">_xlfn.IFS(tblDelivery[[#This Row],[distance_km]]&lt;2,"&lt; 2 km",tblDelivery[[#This Row],[distance_km]]&lt;5,"2 to 5 km",tblDelivery[[#This Row],[distance_km]]&lt;10,"5 to 10 km",TRUE,"10 km and above")</f>
        <v>&lt; 2 km</v>
      </c>
      <c r="Q57" s="8" t="str" cm="1">
        <f t="array" ref="Q57">_xlfn.IFS(tblDelivery[[#This Row],[route_length_km]]&lt;2,"&lt;2 km",tblDelivery[[#This Row],[route_length_km]]&lt;5,"2 to 5 km",tblDelivery[[#This Row],[route_length_km]]&lt;10,"5 to 10 km",TRUE,"10 km and above")</f>
        <v>&lt;2 km</v>
      </c>
      <c r="T57" s="8"/>
    </row>
    <row r="58" spans="1:20" x14ac:dyDescent="0.25">
      <c r="A58" s="6">
        <v>57</v>
      </c>
      <c r="B58" s="2">
        <v>8.89</v>
      </c>
      <c r="C58" s="8">
        <v>61.8</v>
      </c>
      <c r="D58" s="3" t="s">
        <v>18</v>
      </c>
      <c r="E58" s="2">
        <v>8.98</v>
      </c>
      <c r="F58" t="s">
        <v>19</v>
      </c>
      <c r="G58" t="s">
        <v>24</v>
      </c>
      <c r="H58" s="1">
        <v>45661.15902777778</v>
      </c>
      <c r="I58" t="s">
        <v>21</v>
      </c>
      <c r="J58" t="s">
        <v>13</v>
      </c>
      <c r="K58" s="10">
        <f>INT(tblDelivery[[#This Row],[order_time]])</f>
        <v>45661</v>
      </c>
      <c r="L58" s="8">
        <f>HOUR(tblDelivery[[#This Row],[order_time]])</f>
        <v>3</v>
      </c>
      <c r="M58">
        <f>IF(tblDelivery[[#This Row],[delivery_time_min]]&lt;=Time_Target,1,0)</f>
        <v>0</v>
      </c>
      <c r="N58" s="8">
        <f>IF(AND(COUNTBLANK(tblDelivery[[#This Row],[order_id]:[customer_zone]])=0,tblDelivery[[#This Row],[delivery_time_min]]&gt;0,tblDelivery[[#This Row],[distance_km]]&gt;0,tblDelivery[[#This Row],[route_length_km]]&gt;=tblDelivery[[#This Row],[distance_km]]*0.99,COUNTIFS(tblDelivery[order_id],tblDelivery[[#This Row],[order_id]])=1),1,0)</f>
        <v>1</v>
      </c>
      <c r="O58" s="8">
        <f>SUBTOTAL(103,tblDelivery[[#This Row],[order_id]])</f>
        <v>1</v>
      </c>
      <c r="P58" s="8" t="str" cm="1">
        <f t="array" ref="P58">_xlfn.IFS(tblDelivery[[#This Row],[distance_km]]&lt;2,"&lt; 2 km",tblDelivery[[#This Row],[distance_km]]&lt;5,"2 to 5 km",tblDelivery[[#This Row],[distance_km]]&lt;10,"5 to 10 km",TRUE,"10 km and above")</f>
        <v>5 to 10 km</v>
      </c>
      <c r="Q58" s="8" t="str" cm="1">
        <f t="array" ref="Q58">_xlfn.IFS(tblDelivery[[#This Row],[route_length_km]]&lt;2,"&lt;2 km",tblDelivery[[#This Row],[route_length_km]]&lt;5,"2 to 5 km",tblDelivery[[#This Row],[route_length_km]]&lt;10,"5 to 10 km",TRUE,"10 km and above")</f>
        <v>5 to 10 km</v>
      </c>
      <c r="T58" s="8"/>
    </row>
    <row r="59" spans="1:20" x14ac:dyDescent="0.25">
      <c r="A59" s="6">
        <v>58</v>
      </c>
      <c r="B59" s="2">
        <v>9.08</v>
      </c>
      <c r="C59" s="8">
        <v>58.1</v>
      </c>
      <c r="D59" s="3" t="s">
        <v>10</v>
      </c>
      <c r="E59" s="2">
        <v>13.32</v>
      </c>
      <c r="F59" t="s">
        <v>15</v>
      </c>
      <c r="G59" t="s">
        <v>16</v>
      </c>
      <c r="H59" s="1">
        <v>45659.40902777778</v>
      </c>
      <c r="I59" t="s">
        <v>21</v>
      </c>
      <c r="J59" t="s">
        <v>13</v>
      </c>
      <c r="K59" s="10">
        <f>INT(tblDelivery[[#This Row],[order_time]])</f>
        <v>45659</v>
      </c>
      <c r="L59" s="8">
        <f>HOUR(tblDelivery[[#This Row],[order_time]])</f>
        <v>9</v>
      </c>
      <c r="M59">
        <f>IF(tblDelivery[[#This Row],[delivery_time_min]]&lt;=Time_Target,1,0)</f>
        <v>0</v>
      </c>
      <c r="N59" s="8">
        <f>IF(AND(COUNTBLANK(tblDelivery[[#This Row],[order_id]:[customer_zone]])=0,tblDelivery[[#This Row],[delivery_time_min]]&gt;0,tblDelivery[[#This Row],[distance_km]]&gt;0,tblDelivery[[#This Row],[route_length_km]]&gt;=tblDelivery[[#This Row],[distance_km]]*0.99,COUNTIFS(tblDelivery[order_id],tblDelivery[[#This Row],[order_id]])=1),1,0)</f>
        <v>1</v>
      </c>
      <c r="O59" s="8">
        <f>SUBTOTAL(103,tblDelivery[[#This Row],[order_id]])</f>
        <v>1</v>
      </c>
      <c r="P59" s="8" t="str" cm="1">
        <f t="array" ref="P59">_xlfn.IFS(tblDelivery[[#This Row],[distance_km]]&lt;2,"&lt; 2 km",tblDelivery[[#This Row],[distance_km]]&lt;5,"2 to 5 km",tblDelivery[[#This Row],[distance_km]]&lt;10,"5 to 10 km",TRUE,"10 km and above")</f>
        <v>5 to 10 km</v>
      </c>
      <c r="Q59" s="8" t="str" cm="1">
        <f t="array" ref="Q59">_xlfn.IFS(tblDelivery[[#This Row],[route_length_km]]&lt;2,"&lt;2 km",tblDelivery[[#This Row],[route_length_km]]&lt;5,"2 to 5 km",tblDelivery[[#This Row],[route_length_km]]&lt;10,"5 to 10 km",TRUE,"10 km and above")</f>
        <v>10 km and above</v>
      </c>
      <c r="T59" s="8"/>
    </row>
    <row r="60" spans="1:20" x14ac:dyDescent="0.25">
      <c r="A60" s="6">
        <v>59</v>
      </c>
      <c r="B60" s="2">
        <v>11.61</v>
      </c>
      <c r="C60" s="8">
        <v>71.599999999999994</v>
      </c>
      <c r="D60" s="3" t="s">
        <v>22</v>
      </c>
      <c r="E60" s="2">
        <v>12.17</v>
      </c>
      <c r="F60" t="s">
        <v>23</v>
      </c>
      <c r="G60" t="s">
        <v>16</v>
      </c>
      <c r="H60" s="1">
        <v>45658.620833333334</v>
      </c>
      <c r="I60" t="s">
        <v>17</v>
      </c>
      <c r="J60" t="s">
        <v>21</v>
      </c>
      <c r="K60" s="10">
        <f>INT(tblDelivery[[#This Row],[order_time]])</f>
        <v>45658</v>
      </c>
      <c r="L60" s="8">
        <f>HOUR(tblDelivery[[#This Row],[order_time]])</f>
        <v>14</v>
      </c>
      <c r="M60">
        <f>IF(tblDelivery[[#This Row],[delivery_time_min]]&lt;=Time_Target,1,0)</f>
        <v>0</v>
      </c>
      <c r="N60" s="8">
        <f>IF(AND(COUNTBLANK(tblDelivery[[#This Row],[order_id]:[customer_zone]])=0,tblDelivery[[#This Row],[delivery_time_min]]&gt;0,tblDelivery[[#This Row],[distance_km]]&gt;0,tblDelivery[[#This Row],[route_length_km]]&gt;=tblDelivery[[#This Row],[distance_km]]*0.99,COUNTIFS(tblDelivery[order_id],tblDelivery[[#This Row],[order_id]])=1),1,0)</f>
        <v>1</v>
      </c>
      <c r="O60" s="8">
        <f>SUBTOTAL(103,tblDelivery[[#This Row],[order_id]])</f>
        <v>1</v>
      </c>
      <c r="P60" s="8" t="str" cm="1">
        <f t="array" ref="P60">_xlfn.IFS(tblDelivery[[#This Row],[distance_km]]&lt;2,"&lt; 2 km",tblDelivery[[#This Row],[distance_km]]&lt;5,"2 to 5 km",tblDelivery[[#This Row],[distance_km]]&lt;10,"5 to 10 km",TRUE,"10 km and above")</f>
        <v>10 km and above</v>
      </c>
      <c r="Q60" s="8" t="str" cm="1">
        <f t="array" ref="Q60">_xlfn.IFS(tblDelivery[[#This Row],[route_length_km]]&lt;2,"&lt;2 km",tblDelivery[[#This Row],[route_length_km]]&lt;5,"2 to 5 km",tblDelivery[[#This Row],[route_length_km]]&lt;10,"5 to 10 km",TRUE,"10 km and above")</f>
        <v>10 km and above</v>
      </c>
      <c r="T60" s="8"/>
    </row>
    <row r="61" spans="1:20" x14ac:dyDescent="0.25">
      <c r="A61" s="6">
        <v>60</v>
      </c>
      <c r="B61" s="2">
        <v>1.62</v>
      </c>
      <c r="C61" s="8">
        <v>8.3000000000000007</v>
      </c>
      <c r="D61" s="3" t="s">
        <v>18</v>
      </c>
      <c r="E61" s="2">
        <v>2.06</v>
      </c>
      <c r="F61" t="s">
        <v>19</v>
      </c>
      <c r="G61" t="s">
        <v>24</v>
      </c>
      <c r="H61" s="1">
        <v>45659.680555555555</v>
      </c>
      <c r="I61" t="s">
        <v>17</v>
      </c>
      <c r="J61" t="s">
        <v>14</v>
      </c>
      <c r="K61" s="10">
        <f>INT(tblDelivery[[#This Row],[order_time]])</f>
        <v>45659</v>
      </c>
      <c r="L61" s="8">
        <f>HOUR(tblDelivery[[#This Row],[order_time]])</f>
        <v>16</v>
      </c>
      <c r="M61">
        <f>IF(tblDelivery[[#This Row],[delivery_time_min]]&lt;=Time_Target,1,0)</f>
        <v>1</v>
      </c>
      <c r="N61" s="8">
        <f>IF(AND(COUNTBLANK(tblDelivery[[#This Row],[order_id]:[customer_zone]])=0,tblDelivery[[#This Row],[delivery_time_min]]&gt;0,tblDelivery[[#This Row],[distance_km]]&gt;0,tblDelivery[[#This Row],[route_length_km]]&gt;=tblDelivery[[#This Row],[distance_km]]*0.99,COUNTIFS(tblDelivery[order_id],tblDelivery[[#This Row],[order_id]])=1),1,0)</f>
        <v>1</v>
      </c>
      <c r="O61" s="8">
        <f>SUBTOTAL(103,tblDelivery[[#This Row],[order_id]])</f>
        <v>1</v>
      </c>
      <c r="P61" s="8" t="str" cm="1">
        <f t="array" ref="P61">_xlfn.IFS(tblDelivery[[#This Row],[distance_km]]&lt;2,"&lt; 2 km",tblDelivery[[#This Row],[distance_km]]&lt;5,"2 to 5 km",tblDelivery[[#This Row],[distance_km]]&lt;10,"5 to 10 km",TRUE,"10 km and above")</f>
        <v>&lt; 2 km</v>
      </c>
      <c r="Q61" s="8" t="str" cm="1">
        <f t="array" ref="Q61">_xlfn.IFS(tblDelivery[[#This Row],[route_length_km]]&lt;2,"&lt;2 km",tblDelivery[[#This Row],[route_length_km]]&lt;5,"2 to 5 km",tblDelivery[[#This Row],[route_length_km]]&lt;10,"5 to 10 km",TRUE,"10 km and above")</f>
        <v>2 to 5 km</v>
      </c>
      <c r="T61" s="8"/>
    </row>
    <row r="62" spans="1:20" x14ac:dyDescent="0.25">
      <c r="A62" s="6">
        <v>61</v>
      </c>
      <c r="B62" s="2">
        <v>10.63</v>
      </c>
      <c r="C62" s="8">
        <v>68.900000000000006</v>
      </c>
      <c r="D62" s="3" t="s">
        <v>22</v>
      </c>
      <c r="E62" s="2">
        <v>13.85</v>
      </c>
      <c r="F62" t="s">
        <v>11</v>
      </c>
      <c r="G62" t="s">
        <v>16</v>
      </c>
      <c r="H62" s="1">
        <v>45658.678472222222</v>
      </c>
      <c r="I62" t="s">
        <v>21</v>
      </c>
      <c r="J62" t="s">
        <v>21</v>
      </c>
      <c r="K62" s="10">
        <f>INT(tblDelivery[[#This Row],[order_time]])</f>
        <v>45658</v>
      </c>
      <c r="L62" s="8">
        <f>HOUR(tblDelivery[[#This Row],[order_time]])</f>
        <v>16</v>
      </c>
      <c r="M62">
        <f>IF(tblDelivery[[#This Row],[delivery_time_min]]&lt;=Time_Target,1,0)</f>
        <v>0</v>
      </c>
      <c r="N62" s="8">
        <f>IF(AND(COUNTBLANK(tblDelivery[[#This Row],[order_id]:[customer_zone]])=0,tblDelivery[[#This Row],[delivery_time_min]]&gt;0,tblDelivery[[#This Row],[distance_km]]&gt;0,tblDelivery[[#This Row],[route_length_km]]&gt;=tblDelivery[[#This Row],[distance_km]]*0.99,COUNTIFS(tblDelivery[order_id],tblDelivery[[#This Row],[order_id]])=1),1,0)</f>
        <v>1</v>
      </c>
      <c r="O62" s="8">
        <f>SUBTOTAL(103,tblDelivery[[#This Row],[order_id]])</f>
        <v>1</v>
      </c>
      <c r="P62" s="8" t="str" cm="1">
        <f t="array" ref="P62">_xlfn.IFS(tblDelivery[[#This Row],[distance_km]]&lt;2,"&lt; 2 km",tblDelivery[[#This Row],[distance_km]]&lt;5,"2 to 5 km",tblDelivery[[#This Row],[distance_km]]&lt;10,"5 to 10 km",TRUE,"10 km and above")</f>
        <v>10 km and above</v>
      </c>
      <c r="Q62" s="8" t="str" cm="1">
        <f t="array" ref="Q62">_xlfn.IFS(tblDelivery[[#This Row],[route_length_km]]&lt;2,"&lt;2 km",tblDelivery[[#This Row],[route_length_km]]&lt;5,"2 to 5 km",tblDelivery[[#This Row],[route_length_km]]&lt;10,"5 to 10 km",TRUE,"10 km and above")</f>
        <v>10 km and above</v>
      </c>
      <c r="T62" s="8"/>
    </row>
    <row r="63" spans="1:20" x14ac:dyDescent="0.25">
      <c r="A63" s="6">
        <v>62</v>
      </c>
      <c r="B63" s="2">
        <v>10.54</v>
      </c>
      <c r="C63" s="8">
        <v>80</v>
      </c>
      <c r="D63" s="3" t="s">
        <v>10</v>
      </c>
      <c r="E63" s="2">
        <v>12.64</v>
      </c>
      <c r="F63" t="s">
        <v>11</v>
      </c>
      <c r="G63" t="s">
        <v>24</v>
      </c>
      <c r="H63" s="1">
        <v>45660.283333333333</v>
      </c>
      <c r="I63" t="s">
        <v>14</v>
      </c>
      <c r="J63" t="s">
        <v>13</v>
      </c>
      <c r="K63" s="10">
        <f>INT(tblDelivery[[#This Row],[order_time]])</f>
        <v>45660</v>
      </c>
      <c r="L63" s="8">
        <f>HOUR(tblDelivery[[#This Row],[order_time]])</f>
        <v>6</v>
      </c>
      <c r="M63">
        <f>IF(tblDelivery[[#This Row],[delivery_time_min]]&lt;=Time_Target,1,0)</f>
        <v>0</v>
      </c>
      <c r="N63" s="8">
        <f>IF(AND(COUNTBLANK(tblDelivery[[#This Row],[order_id]:[customer_zone]])=0,tblDelivery[[#This Row],[delivery_time_min]]&gt;0,tblDelivery[[#This Row],[distance_km]]&gt;0,tblDelivery[[#This Row],[route_length_km]]&gt;=tblDelivery[[#This Row],[distance_km]]*0.99,COUNTIFS(tblDelivery[order_id],tblDelivery[[#This Row],[order_id]])=1),1,0)</f>
        <v>1</v>
      </c>
      <c r="O63" s="8">
        <f>SUBTOTAL(103,tblDelivery[[#This Row],[order_id]])</f>
        <v>1</v>
      </c>
      <c r="P63" s="8" t="str" cm="1">
        <f t="array" ref="P63">_xlfn.IFS(tblDelivery[[#This Row],[distance_km]]&lt;2,"&lt; 2 km",tblDelivery[[#This Row],[distance_km]]&lt;5,"2 to 5 km",tblDelivery[[#This Row],[distance_km]]&lt;10,"5 to 10 km",TRUE,"10 km and above")</f>
        <v>10 km and above</v>
      </c>
      <c r="Q63" s="8" t="str" cm="1">
        <f t="array" ref="Q63">_xlfn.IFS(tblDelivery[[#This Row],[route_length_km]]&lt;2,"&lt;2 km",tblDelivery[[#This Row],[route_length_km]]&lt;5,"2 to 5 km",tblDelivery[[#This Row],[route_length_km]]&lt;10,"5 to 10 km",TRUE,"10 km and above")</f>
        <v>10 km and above</v>
      </c>
      <c r="T63" s="8"/>
    </row>
    <row r="64" spans="1:20" x14ac:dyDescent="0.25">
      <c r="A64" s="6">
        <v>63</v>
      </c>
      <c r="B64" s="2">
        <v>9.33</v>
      </c>
      <c r="C64" s="8">
        <v>74.8</v>
      </c>
      <c r="D64" s="3" t="s">
        <v>18</v>
      </c>
      <c r="E64" s="2">
        <v>11.26</v>
      </c>
      <c r="F64" t="s">
        <v>23</v>
      </c>
      <c r="G64" t="s">
        <v>12</v>
      </c>
      <c r="H64" s="1">
        <v>45659.934027777781</v>
      </c>
      <c r="I64" t="s">
        <v>25</v>
      </c>
      <c r="J64" t="s">
        <v>25</v>
      </c>
      <c r="K64" s="10">
        <f>INT(tblDelivery[[#This Row],[order_time]])</f>
        <v>45659</v>
      </c>
      <c r="L64" s="8">
        <f>HOUR(tblDelivery[[#This Row],[order_time]])</f>
        <v>22</v>
      </c>
      <c r="M64">
        <f>IF(tblDelivery[[#This Row],[delivery_time_min]]&lt;=Time_Target,1,0)</f>
        <v>0</v>
      </c>
      <c r="N64" s="8">
        <f>IF(AND(COUNTBLANK(tblDelivery[[#This Row],[order_id]:[customer_zone]])=0,tblDelivery[[#This Row],[delivery_time_min]]&gt;0,tblDelivery[[#This Row],[distance_km]]&gt;0,tblDelivery[[#This Row],[route_length_km]]&gt;=tblDelivery[[#This Row],[distance_km]]*0.99,COUNTIFS(tblDelivery[order_id],tblDelivery[[#This Row],[order_id]])=1),1,0)</f>
        <v>1</v>
      </c>
      <c r="O64" s="8">
        <f>SUBTOTAL(103,tblDelivery[[#This Row],[order_id]])</f>
        <v>1</v>
      </c>
      <c r="P64" s="8" t="str" cm="1">
        <f t="array" ref="P64">_xlfn.IFS(tblDelivery[[#This Row],[distance_km]]&lt;2,"&lt; 2 km",tblDelivery[[#This Row],[distance_km]]&lt;5,"2 to 5 km",tblDelivery[[#This Row],[distance_km]]&lt;10,"5 to 10 km",TRUE,"10 km and above")</f>
        <v>5 to 10 km</v>
      </c>
      <c r="Q64" s="8" t="str" cm="1">
        <f t="array" ref="Q64">_xlfn.IFS(tblDelivery[[#This Row],[route_length_km]]&lt;2,"&lt;2 km",tblDelivery[[#This Row],[route_length_km]]&lt;5,"2 to 5 km",tblDelivery[[#This Row],[route_length_km]]&lt;10,"5 to 10 km",TRUE,"10 km and above")</f>
        <v>10 km and above</v>
      </c>
      <c r="T64" s="8"/>
    </row>
    <row r="65" spans="1:20" x14ac:dyDescent="0.25">
      <c r="A65" s="6">
        <v>64</v>
      </c>
      <c r="B65" s="2">
        <v>5.41</v>
      </c>
      <c r="C65" s="8">
        <v>28.6</v>
      </c>
      <c r="D65" s="3" t="s">
        <v>22</v>
      </c>
      <c r="E65" s="2">
        <v>5.43</v>
      </c>
      <c r="F65" t="s">
        <v>11</v>
      </c>
      <c r="G65" t="s">
        <v>20</v>
      </c>
      <c r="H65" s="1">
        <v>45659.271527777775</v>
      </c>
      <c r="I65" t="s">
        <v>14</v>
      </c>
      <c r="J65" t="s">
        <v>14</v>
      </c>
      <c r="K65" s="10">
        <f>INT(tblDelivery[[#This Row],[order_time]])</f>
        <v>45659</v>
      </c>
      <c r="L65" s="8">
        <f>HOUR(tblDelivery[[#This Row],[order_time]])</f>
        <v>6</v>
      </c>
      <c r="M65">
        <f>IF(tblDelivery[[#This Row],[delivery_time_min]]&lt;=Time_Target,1,0)</f>
        <v>1</v>
      </c>
      <c r="N65" s="8">
        <f>IF(AND(COUNTBLANK(tblDelivery[[#This Row],[order_id]:[customer_zone]])=0,tblDelivery[[#This Row],[delivery_time_min]]&gt;0,tblDelivery[[#This Row],[distance_km]]&gt;0,tblDelivery[[#This Row],[route_length_km]]&gt;=tblDelivery[[#This Row],[distance_km]]*0.99,COUNTIFS(tblDelivery[order_id],tblDelivery[[#This Row],[order_id]])=1),1,0)</f>
        <v>1</v>
      </c>
      <c r="O65" s="8">
        <f>SUBTOTAL(103,tblDelivery[[#This Row],[order_id]])</f>
        <v>1</v>
      </c>
      <c r="P65" s="8" t="str" cm="1">
        <f t="array" ref="P65">_xlfn.IFS(tblDelivery[[#This Row],[distance_km]]&lt;2,"&lt; 2 km",tblDelivery[[#This Row],[distance_km]]&lt;5,"2 to 5 km",tblDelivery[[#This Row],[distance_km]]&lt;10,"5 to 10 km",TRUE,"10 km and above")</f>
        <v>5 to 10 km</v>
      </c>
      <c r="Q65" s="8" t="str" cm="1">
        <f t="array" ref="Q65">_xlfn.IFS(tblDelivery[[#This Row],[route_length_km]]&lt;2,"&lt;2 km",tblDelivery[[#This Row],[route_length_km]]&lt;5,"2 to 5 km",tblDelivery[[#This Row],[route_length_km]]&lt;10,"5 to 10 km",TRUE,"10 km and above")</f>
        <v>5 to 10 km</v>
      </c>
      <c r="T65" s="8"/>
    </row>
    <row r="66" spans="1:20" x14ac:dyDescent="0.25">
      <c r="A66" s="6">
        <v>65</v>
      </c>
      <c r="B66" s="2">
        <v>10.78</v>
      </c>
      <c r="C66" s="8">
        <v>97.1</v>
      </c>
      <c r="D66" s="3" t="s">
        <v>22</v>
      </c>
      <c r="E66" s="2">
        <v>14.1</v>
      </c>
      <c r="F66" t="s">
        <v>15</v>
      </c>
      <c r="G66" t="s">
        <v>24</v>
      </c>
      <c r="H66" s="1">
        <v>45660.70416666667</v>
      </c>
      <c r="I66" t="s">
        <v>17</v>
      </c>
      <c r="J66" t="s">
        <v>14</v>
      </c>
      <c r="K66" s="10">
        <f>INT(tblDelivery[[#This Row],[order_time]])</f>
        <v>45660</v>
      </c>
      <c r="L66" s="8">
        <f>HOUR(tblDelivery[[#This Row],[order_time]])</f>
        <v>16</v>
      </c>
      <c r="M66">
        <f>IF(tblDelivery[[#This Row],[delivery_time_min]]&lt;=Time_Target,1,0)</f>
        <v>0</v>
      </c>
      <c r="N66" s="8">
        <f>IF(AND(COUNTBLANK(tblDelivery[[#This Row],[order_id]:[customer_zone]])=0,tblDelivery[[#This Row],[delivery_time_min]]&gt;0,tblDelivery[[#This Row],[distance_km]]&gt;0,tblDelivery[[#This Row],[route_length_km]]&gt;=tblDelivery[[#This Row],[distance_km]]*0.99,COUNTIFS(tblDelivery[order_id],tblDelivery[[#This Row],[order_id]])=1),1,0)</f>
        <v>1</v>
      </c>
      <c r="O66" s="8">
        <f>SUBTOTAL(103,tblDelivery[[#This Row],[order_id]])</f>
        <v>1</v>
      </c>
      <c r="P66" s="8" t="str" cm="1">
        <f t="array" ref="P66">_xlfn.IFS(tblDelivery[[#This Row],[distance_km]]&lt;2,"&lt; 2 km",tblDelivery[[#This Row],[distance_km]]&lt;5,"2 to 5 km",tblDelivery[[#This Row],[distance_km]]&lt;10,"5 to 10 km",TRUE,"10 km and above")</f>
        <v>10 km and above</v>
      </c>
      <c r="Q66" s="8" t="str" cm="1">
        <f t="array" ref="Q66">_xlfn.IFS(tblDelivery[[#This Row],[route_length_km]]&lt;2,"&lt;2 km",tblDelivery[[#This Row],[route_length_km]]&lt;5,"2 to 5 km",tblDelivery[[#This Row],[route_length_km]]&lt;10,"5 to 10 km",TRUE,"10 km and above")</f>
        <v>10 km and above</v>
      </c>
      <c r="T66" s="8"/>
    </row>
    <row r="67" spans="1:20" x14ac:dyDescent="0.25">
      <c r="A67" s="6">
        <v>66</v>
      </c>
      <c r="B67" s="2">
        <v>9.0500000000000007</v>
      </c>
      <c r="C67" s="8">
        <v>76.900000000000006</v>
      </c>
      <c r="D67" s="3" t="s">
        <v>18</v>
      </c>
      <c r="E67" s="2">
        <v>11.45</v>
      </c>
      <c r="F67" t="s">
        <v>11</v>
      </c>
      <c r="G67" t="s">
        <v>16</v>
      </c>
      <c r="H67" s="1">
        <v>45660.071527777778</v>
      </c>
      <c r="I67" t="s">
        <v>25</v>
      </c>
      <c r="J67" t="s">
        <v>25</v>
      </c>
      <c r="K67" s="10">
        <f>INT(tblDelivery[[#This Row],[order_time]])</f>
        <v>45660</v>
      </c>
      <c r="L67" s="8">
        <f>HOUR(tblDelivery[[#This Row],[order_time]])</f>
        <v>1</v>
      </c>
      <c r="M67">
        <f>IF(tblDelivery[[#This Row],[delivery_time_min]]&lt;=Time_Target,1,0)</f>
        <v>0</v>
      </c>
      <c r="N67" s="8">
        <f>IF(AND(COUNTBLANK(tblDelivery[[#This Row],[order_id]:[customer_zone]])=0,tblDelivery[[#This Row],[delivery_time_min]]&gt;0,tblDelivery[[#This Row],[distance_km]]&gt;0,tblDelivery[[#This Row],[route_length_km]]&gt;=tblDelivery[[#This Row],[distance_km]]*0.99,COUNTIFS(tblDelivery[order_id],tblDelivery[[#This Row],[order_id]])=1),1,0)</f>
        <v>1</v>
      </c>
      <c r="O67" s="8">
        <f>SUBTOTAL(103,tblDelivery[[#This Row],[order_id]])</f>
        <v>1</v>
      </c>
      <c r="P67" s="8" t="str" cm="1">
        <f t="array" ref="P67">_xlfn.IFS(tblDelivery[[#This Row],[distance_km]]&lt;2,"&lt; 2 km",tblDelivery[[#This Row],[distance_km]]&lt;5,"2 to 5 km",tblDelivery[[#This Row],[distance_km]]&lt;10,"5 to 10 km",TRUE,"10 km and above")</f>
        <v>5 to 10 km</v>
      </c>
      <c r="Q67" s="8" t="str" cm="1">
        <f t="array" ref="Q67">_xlfn.IFS(tblDelivery[[#This Row],[route_length_km]]&lt;2,"&lt;2 km",tblDelivery[[#This Row],[route_length_km]]&lt;5,"2 to 5 km",tblDelivery[[#This Row],[route_length_km]]&lt;10,"5 to 10 km",TRUE,"10 km and above")</f>
        <v>10 km and above</v>
      </c>
      <c r="T67" s="8"/>
    </row>
    <row r="68" spans="1:20" x14ac:dyDescent="0.25">
      <c r="A68" s="6">
        <v>67</v>
      </c>
      <c r="B68" s="2">
        <v>9.92</v>
      </c>
      <c r="C68" s="8">
        <v>68.5</v>
      </c>
      <c r="D68" s="3" t="s">
        <v>18</v>
      </c>
      <c r="E68" s="2">
        <v>10.130000000000001</v>
      </c>
      <c r="F68" t="s">
        <v>23</v>
      </c>
      <c r="G68" t="s">
        <v>16</v>
      </c>
      <c r="H68" s="1">
        <v>45660.120833333334</v>
      </c>
      <c r="I68" t="s">
        <v>21</v>
      </c>
      <c r="J68" t="s">
        <v>25</v>
      </c>
      <c r="K68" s="10">
        <f>INT(tblDelivery[[#This Row],[order_time]])</f>
        <v>45660</v>
      </c>
      <c r="L68" s="8">
        <f>HOUR(tblDelivery[[#This Row],[order_time]])</f>
        <v>2</v>
      </c>
      <c r="M68">
        <f>IF(tblDelivery[[#This Row],[delivery_time_min]]&lt;=Time_Target,1,0)</f>
        <v>0</v>
      </c>
      <c r="N68" s="8">
        <f>IF(AND(COUNTBLANK(tblDelivery[[#This Row],[order_id]:[customer_zone]])=0,tblDelivery[[#This Row],[delivery_time_min]]&gt;0,tblDelivery[[#This Row],[distance_km]]&gt;0,tblDelivery[[#This Row],[route_length_km]]&gt;=tblDelivery[[#This Row],[distance_km]]*0.99,COUNTIFS(tblDelivery[order_id],tblDelivery[[#This Row],[order_id]])=1),1,0)</f>
        <v>1</v>
      </c>
      <c r="O68" s="8">
        <f>SUBTOTAL(103,tblDelivery[[#This Row],[order_id]])</f>
        <v>1</v>
      </c>
      <c r="P68" s="8" t="str" cm="1">
        <f t="array" ref="P68">_xlfn.IFS(tblDelivery[[#This Row],[distance_km]]&lt;2,"&lt; 2 km",tblDelivery[[#This Row],[distance_km]]&lt;5,"2 to 5 km",tblDelivery[[#This Row],[distance_km]]&lt;10,"5 to 10 km",TRUE,"10 km and above")</f>
        <v>5 to 10 km</v>
      </c>
      <c r="Q68" s="8" t="str" cm="1">
        <f t="array" ref="Q68">_xlfn.IFS(tblDelivery[[#This Row],[route_length_km]]&lt;2,"&lt;2 km",tblDelivery[[#This Row],[route_length_km]]&lt;5,"2 to 5 km",tblDelivery[[#This Row],[route_length_km]]&lt;10,"5 to 10 km",TRUE,"10 km and above")</f>
        <v>10 km and above</v>
      </c>
      <c r="T68" s="8"/>
    </row>
    <row r="69" spans="1:20" x14ac:dyDescent="0.25">
      <c r="A69" s="6">
        <v>68</v>
      </c>
      <c r="B69" s="2">
        <v>8.0399999999999991</v>
      </c>
      <c r="C69" s="8">
        <v>49.1</v>
      </c>
      <c r="D69" s="3" t="s">
        <v>18</v>
      </c>
      <c r="E69" s="2">
        <v>11.13</v>
      </c>
      <c r="F69" t="s">
        <v>23</v>
      </c>
      <c r="G69" t="s">
        <v>24</v>
      </c>
      <c r="H69" s="1">
        <v>45661.343055555553</v>
      </c>
      <c r="I69" t="s">
        <v>25</v>
      </c>
      <c r="J69" t="s">
        <v>25</v>
      </c>
      <c r="K69" s="10">
        <f>INT(tblDelivery[[#This Row],[order_time]])</f>
        <v>45661</v>
      </c>
      <c r="L69" s="8">
        <f>HOUR(tblDelivery[[#This Row],[order_time]])</f>
        <v>8</v>
      </c>
      <c r="M69">
        <f>IF(tblDelivery[[#This Row],[delivery_time_min]]&lt;=Time_Target,1,0)</f>
        <v>0</v>
      </c>
      <c r="N69" s="8">
        <f>IF(AND(COUNTBLANK(tblDelivery[[#This Row],[order_id]:[customer_zone]])=0,tblDelivery[[#This Row],[delivery_time_min]]&gt;0,tblDelivery[[#This Row],[distance_km]]&gt;0,tblDelivery[[#This Row],[route_length_km]]&gt;=tblDelivery[[#This Row],[distance_km]]*0.99,COUNTIFS(tblDelivery[order_id],tblDelivery[[#This Row],[order_id]])=1),1,0)</f>
        <v>1</v>
      </c>
      <c r="O69" s="8">
        <f>SUBTOTAL(103,tblDelivery[[#This Row],[order_id]])</f>
        <v>1</v>
      </c>
      <c r="P69" s="8" t="str" cm="1">
        <f t="array" ref="P69">_xlfn.IFS(tblDelivery[[#This Row],[distance_km]]&lt;2,"&lt; 2 km",tblDelivery[[#This Row],[distance_km]]&lt;5,"2 to 5 km",tblDelivery[[#This Row],[distance_km]]&lt;10,"5 to 10 km",TRUE,"10 km and above")</f>
        <v>5 to 10 km</v>
      </c>
      <c r="Q69" s="8" t="str" cm="1">
        <f t="array" ref="Q69">_xlfn.IFS(tblDelivery[[#This Row],[route_length_km]]&lt;2,"&lt;2 km",tblDelivery[[#This Row],[route_length_km]]&lt;5,"2 to 5 km",tblDelivery[[#This Row],[route_length_km]]&lt;10,"5 to 10 km",TRUE,"10 km and above")</f>
        <v>10 km and above</v>
      </c>
      <c r="T69" s="8"/>
    </row>
    <row r="70" spans="1:20" x14ac:dyDescent="0.25">
      <c r="A70" s="6">
        <v>69</v>
      </c>
      <c r="B70" s="2">
        <v>6.4</v>
      </c>
      <c r="C70" s="8">
        <v>43.2</v>
      </c>
      <c r="D70" s="3" t="s">
        <v>18</v>
      </c>
      <c r="E70" s="2">
        <v>9</v>
      </c>
      <c r="F70" t="s">
        <v>11</v>
      </c>
      <c r="G70" t="s">
        <v>16</v>
      </c>
      <c r="H70" s="1">
        <v>45660.119444444441</v>
      </c>
      <c r="I70" t="s">
        <v>21</v>
      </c>
      <c r="J70" t="s">
        <v>14</v>
      </c>
      <c r="K70" s="10">
        <f>INT(tblDelivery[[#This Row],[order_time]])</f>
        <v>45660</v>
      </c>
      <c r="L70" s="8">
        <f>HOUR(tblDelivery[[#This Row],[order_time]])</f>
        <v>2</v>
      </c>
      <c r="M70">
        <f>IF(tblDelivery[[#This Row],[delivery_time_min]]&lt;=Time_Target,1,0)</f>
        <v>1</v>
      </c>
      <c r="N70" s="8">
        <f>IF(AND(COUNTBLANK(tblDelivery[[#This Row],[order_id]:[customer_zone]])=0,tblDelivery[[#This Row],[delivery_time_min]]&gt;0,tblDelivery[[#This Row],[distance_km]]&gt;0,tblDelivery[[#This Row],[route_length_km]]&gt;=tblDelivery[[#This Row],[distance_km]]*0.99,COUNTIFS(tblDelivery[order_id],tblDelivery[[#This Row],[order_id]])=1),1,0)</f>
        <v>1</v>
      </c>
      <c r="O70" s="8">
        <f>SUBTOTAL(103,tblDelivery[[#This Row],[order_id]])</f>
        <v>1</v>
      </c>
      <c r="P70" s="8" t="str" cm="1">
        <f t="array" ref="P70">_xlfn.IFS(tblDelivery[[#This Row],[distance_km]]&lt;2,"&lt; 2 km",tblDelivery[[#This Row],[distance_km]]&lt;5,"2 to 5 km",tblDelivery[[#This Row],[distance_km]]&lt;10,"5 to 10 km",TRUE,"10 km and above")</f>
        <v>5 to 10 km</v>
      </c>
      <c r="Q70" s="8" t="str" cm="1">
        <f t="array" ref="Q70">_xlfn.IFS(tblDelivery[[#This Row],[route_length_km]]&lt;2,"&lt;2 km",tblDelivery[[#This Row],[route_length_km]]&lt;5,"2 to 5 km",tblDelivery[[#This Row],[route_length_km]]&lt;10,"5 to 10 km",TRUE,"10 km and above")</f>
        <v>5 to 10 km</v>
      </c>
      <c r="T70" s="8"/>
    </row>
    <row r="71" spans="1:20" x14ac:dyDescent="0.25">
      <c r="A71" s="6">
        <v>70</v>
      </c>
      <c r="B71" s="2">
        <v>2.59</v>
      </c>
      <c r="C71" s="8">
        <v>20.3</v>
      </c>
      <c r="D71" s="3" t="s">
        <v>18</v>
      </c>
      <c r="E71" s="2">
        <v>3.16</v>
      </c>
      <c r="F71" t="s">
        <v>19</v>
      </c>
      <c r="G71" t="s">
        <v>24</v>
      </c>
      <c r="H71" s="1">
        <v>45661.745138888888</v>
      </c>
      <c r="I71" t="s">
        <v>17</v>
      </c>
      <c r="J71" t="s">
        <v>25</v>
      </c>
      <c r="K71" s="10">
        <f>INT(tblDelivery[[#This Row],[order_time]])</f>
        <v>45661</v>
      </c>
      <c r="L71" s="8">
        <f>HOUR(tblDelivery[[#This Row],[order_time]])</f>
        <v>17</v>
      </c>
      <c r="M71">
        <f>IF(tblDelivery[[#This Row],[delivery_time_min]]&lt;=Time_Target,1,0)</f>
        <v>1</v>
      </c>
      <c r="N71" s="8">
        <f>IF(AND(COUNTBLANK(tblDelivery[[#This Row],[order_id]:[customer_zone]])=0,tblDelivery[[#This Row],[delivery_time_min]]&gt;0,tblDelivery[[#This Row],[distance_km]]&gt;0,tblDelivery[[#This Row],[route_length_km]]&gt;=tblDelivery[[#This Row],[distance_km]]*0.99,COUNTIFS(tblDelivery[order_id],tblDelivery[[#This Row],[order_id]])=1),1,0)</f>
        <v>1</v>
      </c>
      <c r="O71" s="8">
        <f>SUBTOTAL(103,tblDelivery[[#This Row],[order_id]])</f>
        <v>1</v>
      </c>
      <c r="P71" s="8" t="str" cm="1">
        <f t="array" ref="P71">_xlfn.IFS(tblDelivery[[#This Row],[distance_km]]&lt;2,"&lt; 2 km",tblDelivery[[#This Row],[distance_km]]&lt;5,"2 to 5 km",tblDelivery[[#This Row],[distance_km]]&lt;10,"5 to 10 km",TRUE,"10 km and above")</f>
        <v>2 to 5 km</v>
      </c>
      <c r="Q71" s="8" t="str" cm="1">
        <f t="array" ref="Q71">_xlfn.IFS(tblDelivery[[#This Row],[route_length_km]]&lt;2,"&lt;2 km",tblDelivery[[#This Row],[route_length_km]]&lt;5,"2 to 5 km",tblDelivery[[#This Row],[route_length_km]]&lt;10,"5 to 10 km",TRUE,"10 km and above")</f>
        <v>2 to 5 km</v>
      </c>
      <c r="T71" s="8"/>
    </row>
    <row r="72" spans="1:20" x14ac:dyDescent="0.25">
      <c r="A72" s="6">
        <v>71</v>
      </c>
      <c r="B72" s="2">
        <v>2.63</v>
      </c>
      <c r="C72" s="8">
        <v>14.6</v>
      </c>
      <c r="D72" s="3" t="s">
        <v>18</v>
      </c>
      <c r="E72" s="2">
        <v>3.35</v>
      </c>
      <c r="F72" t="s">
        <v>11</v>
      </c>
      <c r="G72" t="s">
        <v>20</v>
      </c>
      <c r="H72" s="1">
        <v>45660.436805555553</v>
      </c>
      <c r="I72" t="s">
        <v>17</v>
      </c>
      <c r="J72" t="s">
        <v>14</v>
      </c>
      <c r="K72" s="10">
        <f>INT(tblDelivery[[#This Row],[order_time]])</f>
        <v>45660</v>
      </c>
      <c r="L72" s="8">
        <f>HOUR(tblDelivery[[#This Row],[order_time]])</f>
        <v>10</v>
      </c>
      <c r="M72">
        <f>IF(tblDelivery[[#This Row],[delivery_time_min]]&lt;=Time_Target,1,0)</f>
        <v>1</v>
      </c>
      <c r="N72" s="8">
        <f>IF(AND(COUNTBLANK(tblDelivery[[#This Row],[order_id]:[customer_zone]])=0,tblDelivery[[#This Row],[delivery_time_min]]&gt;0,tblDelivery[[#This Row],[distance_km]]&gt;0,tblDelivery[[#This Row],[route_length_km]]&gt;=tblDelivery[[#This Row],[distance_km]]*0.99,COUNTIFS(tblDelivery[order_id],tblDelivery[[#This Row],[order_id]])=1),1,0)</f>
        <v>1</v>
      </c>
      <c r="O72" s="8">
        <f>SUBTOTAL(103,tblDelivery[[#This Row],[order_id]])</f>
        <v>1</v>
      </c>
      <c r="P72" s="8" t="str" cm="1">
        <f t="array" ref="P72">_xlfn.IFS(tblDelivery[[#This Row],[distance_km]]&lt;2,"&lt; 2 km",tblDelivery[[#This Row],[distance_km]]&lt;5,"2 to 5 km",tblDelivery[[#This Row],[distance_km]]&lt;10,"5 to 10 km",TRUE,"10 km and above")</f>
        <v>2 to 5 km</v>
      </c>
      <c r="Q72" s="8" t="str" cm="1">
        <f t="array" ref="Q72">_xlfn.IFS(tblDelivery[[#This Row],[route_length_km]]&lt;2,"&lt;2 km",tblDelivery[[#This Row],[route_length_km]]&lt;5,"2 to 5 km",tblDelivery[[#This Row],[route_length_km]]&lt;10,"5 to 10 km",TRUE,"10 km and above")</f>
        <v>2 to 5 km</v>
      </c>
      <c r="T72" s="8"/>
    </row>
    <row r="73" spans="1:20" x14ac:dyDescent="0.25">
      <c r="A73" s="6">
        <v>72</v>
      </c>
      <c r="B73" s="2">
        <v>6.83</v>
      </c>
      <c r="C73" s="8">
        <v>37.6</v>
      </c>
      <c r="D73" s="3" t="s">
        <v>10</v>
      </c>
      <c r="E73" s="2">
        <v>8.36</v>
      </c>
      <c r="F73" t="s">
        <v>11</v>
      </c>
      <c r="G73" t="s">
        <v>12</v>
      </c>
      <c r="H73" s="1">
        <v>45659.421527777777</v>
      </c>
      <c r="I73" t="s">
        <v>17</v>
      </c>
      <c r="J73" t="s">
        <v>21</v>
      </c>
      <c r="K73" s="10">
        <f>INT(tblDelivery[[#This Row],[order_time]])</f>
        <v>45659</v>
      </c>
      <c r="L73" s="8">
        <f>HOUR(tblDelivery[[#This Row],[order_time]])</f>
        <v>10</v>
      </c>
      <c r="M73">
        <f>IF(tblDelivery[[#This Row],[delivery_time_min]]&lt;=Time_Target,1,0)</f>
        <v>1</v>
      </c>
      <c r="N73" s="8">
        <f>IF(AND(COUNTBLANK(tblDelivery[[#This Row],[order_id]:[customer_zone]])=0,tblDelivery[[#This Row],[delivery_time_min]]&gt;0,tblDelivery[[#This Row],[distance_km]]&gt;0,tblDelivery[[#This Row],[route_length_km]]&gt;=tblDelivery[[#This Row],[distance_km]]*0.99,COUNTIFS(tblDelivery[order_id],tblDelivery[[#This Row],[order_id]])=1),1,0)</f>
        <v>1</v>
      </c>
      <c r="O73" s="8">
        <f>SUBTOTAL(103,tblDelivery[[#This Row],[order_id]])</f>
        <v>1</v>
      </c>
      <c r="P73" s="8" t="str" cm="1">
        <f t="array" ref="P73">_xlfn.IFS(tblDelivery[[#This Row],[distance_km]]&lt;2,"&lt; 2 km",tblDelivery[[#This Row],[distance_km]]&lt;5,"2 to 5 km",tblDelivery[[#This Row],[distance_km]]&lt;10,"5 to 10 km",TRUE,"10 km and above")</f>
        <v>5 to 10 km</v>
      </c>
      <c r="Q73" s="8" t="str" cm="1">
        <f t="array" ref="Q73">_xlfn.IFS(tblDelivery[[#This Row],[route_length_km]]&lt;2,"&lt;2 km",tblDelivery[[#This Row],[route_length_km]]&lt;5,"2 to 5 km",tblDelivery[[#This Row],[route_length_km]]&lt;10,"5 to 10 km",TRUE,"10 km and above")</f>
        <v>5 to 10 km</v>
      </c>
      <c r="T73" s="8"/>
    </row>
    <row r="74" spans="1:20" x14ac:dyDescent="0.25">
      <c r="A74" s="6">
        <v>73</v>
      </c>
      <c r="B74" s="2">
        <v>10.119999999999999</v>
      </c>
      <c r="C74" s="8">
        <v>64.099999999999994</v>
      </c>
      <c r="D74" s="3" t="s">
        <v>22</v>
      </c>
      <c r="E74" s="2">
        <v>11.5</v>
      </c>
      <c r="F74" t="s">
        <v>23</v>
      </c>
      <c r="G74" t="s">
        <v>12</v>
      </c>
      <c r="H74" s="1">
        <v>45660.859027777777</v>
      </c>
      <c r="I74" t="s">
        <v>17</v>
      </c>
      <c r="J74" t="s">
        <v>17</v>
      </c>
      <c r="K74" s="10">
        <f>INT(tblDelivery[[#This Row],[order_time]])</f>
        <v>45660</v>
      </c>
      <c r="L74" s="8">
        <f>HOUR(tblDelivery[[#This Row],[order_time]])</f>
        <v>20</v>
      </c>
      <c r="M74">
        <f>IF(tblDelivery[[#This Row],[delivery_time_min]]&lt;=Time_Target,1,0)</f>
        <v>0</v>
      </c>
      <c r="N74" s="8">
        <f>IF(AND(COUNTBLANK(tblDelivery[[#This Row],[order_id]:[customer_zone]])=0,tblDelivery[[#This Row],[delivery_time_min]]&gt;0,tblDelivery[[#This Row],[distance_km]]&gt;0,tblDelivery[[#This Row],[route_length_km]]&gt;=tblDelivery[[#This Row],[distance_km]]*0.99,COUNTIFS(tblDelivery[order_id],tblDelivery[[#This Row],[order_id]])=1),1,0)</f>
        <v>1</v>
      </c>
      <c r="O74" s="8">
        <f>SUBTOTAL(103,tblDelivery[[#This Row],[order_id]])</f>
        <v>1</v>
      </c>
      <c r="P74" s="8" t="str" cm="1">
        <f t="array" ref="P74">_xlfn.IFS(tblDelivery[[#This Row],[distance_km]]&lt;2,"&lt; 2 km",tblDelivery[[#This Row],[distance_km]]&lt;5,"2 to 5 km",tblDelivery[[#This Row],[distance_km]]&lt;10,"5 to 10 km",TRUE,"10 km and above")</f>
        <v>10 km and above</v>
      </c>
      <c r="Q74" s="8" t="str" cm="1">
        <f t="array" ref="Q74">_xlfn.IFS(tblDelivery[[#This Row],[route_length_km]]&lt;2,"&lt;2 km",tblDelivery[[#This Row],[route_length_km]]&lt;5,"2 to 5 km",tblDelivery[[#This Row],[route_length_km]]&lt;10,"5 to 10 km",TRUE,"10 km and above")</f>
        <v>10 km and above</v>
      </c>
      <c r="T74" s="8"/>
    </row>
    <row r="75" spans="1:20" x14ac:dyDescent="0.25">
      <c r="A75" s="6">
        <v>74</v>
      </c>
      <c r="B75" s="2">
        <v>5.77</v>
      </c>
      <c r="C75" s="8">
        <v>44.5</v>
      </c>
      <c r="D75" s="3" t="s">
        <v>18</v>
      </c>
      <c r="E75" s="2">
        <v>7.86</v>
      </c>
      <c r="F75" t="s">
        <v>23</v>
      </c>
      <c r="G75" t="s">
        <v>20</v>
      </c>
      <c r="H75" s="1">
        <v>45659.227083333331</v>
      </c>
      <c r="I75" t="s">
        <v>17</v>
      </c>
      <c r="J75" t="s">
        <v>14</v>
      </c>
      <c r="K75" s="10">
        <f>INT(tblDelivery[[#This Row],[order_time]])</f>
        <v>45659</v>
      </c>
      <c r="L75" s="8">
        <f>HOUR(tblDelivery[[#This Row],[order_time]])</f>
        <v>5</v>
      </c>
      <c r="M75">
        <f>IF(tblDelivery[[#This Row],[delivery_time_min]]&lt;=Time_Target,1,0)</f>
        <v>1</v>
      </c>
      <c r="N75" s="8">
        <f>IF(AND(COUNTBLANK(tblDelivery[[#This Row],[order_id]:[customer_zone]])=0,tblDelivery[[#This Row],[delivery_time_min]]&gt;0,tblDelivery[[#This Row],[distance_km]]&gt;0,tblDelivery[[#This Row],[route_length_km]]&gt;=tblDelivery[[#This Row],[distance_km]]*0.99,COUNTIFS(tblDelivery[order_id],tblDelivery[[#This Row],[order_id]])=1),1,0)</f>
        <v>1</v>
      </c>
      <c r="O75" s="8">
        <f>SUBTOTAL(103,tblDelivery[[#This Row],[order_id]])</f>
        <v>1</v>
      </c>
      <c r="P75" s="8" t="str" cm="1">
        <f t="array" ref="P75">_xlfn.IFS(tblDelivery[[#This Row],[distance_km]]&lt;2,"&lt; 2 km",tblDelivery[[#This Row],[distance_km]]&lt;5,"2 to 5 km",tblDelivery[[#This Row],[distance_km]]&lt;10,"5 to 10 km",TRUE,"10 km and above")</f>
        <v>5 to 10 km</v>
      </c>
      <c r="Q75" s="8" t="str" cm="1">
        <f t="array" ref="Q75">_xlfn.IFS(tblDelivery[[#This Row],[route_length_km]]&lt;2,"&lt;2 km",tblDelivery[[#This Row],[route_length_km]]&lt;5,"2 to 5 km",tblDelivery[[#This Row],[route_length_km]]&lt;10,"5 to 10 km",TRUE,"10 km and above")</f>
        <v>5 to 10 km</v>
      </c>
      <c r="T75" s="8"/>
    </row>
    <row r="76" spans="1:20" x14ac:dyDescent="0.25">
      <c r="A76" s="6">
        <v>75</v>
      </c>
      <c r="B76" s="2">
        <v>4.16</v>
      </c>
      <c r="C76" s="8">
        <v>25.5</v>
      </c>
      <c r="D76" s="3" t="s">
        <v>22</v>
      </c>
      <c r="E76" s="2">
        <v>5.39</v>
      </c>
      <c r="F76" t="s">
        <v>15</v>
      </c>
      <c r="G76" t="s">
        <v>16</v>
      </c>
      <c r="H76" s="1">
        <v>45660.167361111111</v>
      </c>
      <c r="I76" t="s">
        <v>17</v>
      </c>
      <c r="J76" t="s">
        <v>17</v>
      </c>
      <c r="K76" s="10">
        <f>INT(tblDelivery[[#This Row],[order_time]])</f>
        <v>45660</v>
      </c>
      <c r="L76" s="8">
        <f>HOUR(tblDelivery[[#This Row],[order_time]])</f>
        <v>4</v>
      </c>
      <c r="M76">
        <f>IF(tblDelivery[[#This Row],[delivery_time_min]]&lt;=Time_Target,1,0)</f>
        <v>1</v>
      </c>
      <c r="N76" s="8">
        <f>IF(AND(COUNTBLANK(tblDelivery[[#This Row],[order_id]:[customer_zone]])=0,tblDelivery[[#This Row],[delivery_time_min]]&gt;0,tblDelivery[[#This Row],[distance_km]]&gt;0,tblDelivery[[#This Row],[route_length_km]]&gt;=tblDelivery[[#This Row],[distance_km]]*0.99,COUNTIFS(tblDelivery[order_id],tblDelivery[[#This Row],[order_id]])=1),1,0)</f>
        <v>1</v>
      </c>
      <c r="O76" s="8">
        <f>SUBTOTAL(103,tblDelivery[[#This Row],[order_id]])</f>
        <v>1</v>
      </c>
      <c r="P76" s="8" t="str" cm="1">
        <f t="array" ref="P76">_xlfn.IFS(tblDelivery[[#This Row],[distance_km]]&lt;2,"&lt; 2 km",tblDelivery[[#This Row],[distance_km]]&lt;5,"2 to 5 km",tblDelivery[[#This Row],[distance_km]]&lt;10,"5 to 10 km",TRUE,"10 km and above")</f>
        <v>2 to 5 km</v>
      </c>
      <c r="Q76" s="8" t="str" cm="1">
        <f t="array" ref="Q76">_xlfn.IFS(tblDelivery[[#This Row],[route_length_km]]&lt;2,"&lt;2 km",tblDelivery[[#This Row],[route_length_km]]&lt;5,"2 to 5 km",tblDelivery[[#This Row],[route_length_km]]&lt;10,"5 to 10 km",TRUE,"10 km and above")</f>
        <v>5 to 10 km</v>
      </c>
      <c r="T76" s="8"/>
    </row>
    <row r="77" spans="1:20" x14ac:dyDescent="0.25">
      <c r="A77" s="6">
        <v>76</v>
      </c>
      <c r="B77" s="2">
        <v>4.34</v>
      </c>
      <c r="C77" s="8">
        <v>24.1</v>
      </c>
      <c r="D77" s="3" t="s">
        <v>10</v>
      </c>
      <c r="E77" s="2">
        <v>4.4000000000000004</v>
      </c>
      <c r="F77" t="s">
        <v>23</v>
      </c>
      <c r="G77" t="s">
        <v>16</v>
      </c>
      <c r="H77" s="1">
        <v>45660.076388888891</v>
      </c>
      <c r="I77" t="s">
        <v>14</v>
      </c>
      <c r="J77" t="s">
        <v>17</v>
      </c>
      <c r="K77" s="10">
        <f>INT(tblDelivery[[#This Row],[order_time]])</f>
        <v>45660</v>
      </c>
      <c r="L77" s="8">
        <f>HOUR(tblDelivery[[#This Row],[order_time]])</f>
        <v>1</v>
      </c>
      <c r="M77">
        <f>IF(tblDelivery[[#This Row],[delivery_time_min]]&lt;=Time_Target,1,0)</f>
        <v>1</v>
      </c>
      <c r="N77" s="8">
        <f>IF(AND(COUNTBLANK(tblDelivery[[#This Row],[order_id]:[customer_zone]])=0,tblDelivery[[#This Row],[delivery_time_min]]&gt;0,tblDelivery[[#This Row],[distance_km]]&gt;0,tblDelivery[[#This Row],[route_length_km]]&gt;=tblDelivery[[#This Row],[distance_km]]*0.99,COUNTIFS(tblDelivery[order_id],tblDelivery[[#This Row],[order_id]])=1),1,0)</f>
        <v>1</v>
      </c>
      <c r="O77" s="8">
        <f>SUBTOTAL(103,tblDelivery[[#This Row],[order_id]])</f>
        <v>1</v>
      </c>
      <c r="P77" s="8" t="str" cm="1">
        <f t="array" ref="P77">_xlfn.IFS(tblDelivery[[#This Row],[distance_km]]&lt;2,"&lt; 2 km",tblDelivery[[#This Row],[distance_km]]&lt;5,"2 to 5 km",tblDelivery[[#This Row],[distance_km]]&lt;10,"5 to 10 km",TRUE,"10 km and above")</f>
        <v>2 to 5 km</v>
      </c>
      <c r="Q77" s="8" t="str" cm="1">
        <f t="array" ref="Q77">_xlfn.IFS(tblDelivery[[#This Row],[route_length_km]]&lt;2,"&lt;2 km",tblDelivery[[#This Row],[route_length_km]]&lt;5,"2 to 5 km",tblDelivery[[#This Row],[route_length_km]]&lt;10,"5 to 10 km",TRUE,"10 km and above")</f>
        <v>2 to 5 km</v>
      </c>
      <c r="T77" s="8"/>
    </row>
    <row r="78" spans="1:20" x14ac:dyDescent="0.25">
      <c r="A78" s="6">
        <v>77</v>
      </c>
      <c r="B78" s="2">
        <v>6.77</v>
      </c>
      <c r="C78" s="8">
        <v>41.8</v>
      </c>
      <c r="D78" s="3" t="s">
        <v>10</v>
      </c>
      <c r="E78" s="2">
        <v>9.32</v>
      </c>
      <c r="F78" t="s">
        <v>11</v>
      </c>
      <c r="G78" t="s">
        <v>16</v>
      </c>
      <c r="H78" s="1">
        <v>45660.075694444444</v>
      </c>
      <c r="I78" t="s">
        <v>17</v>
      </c>
      <c r="J78" t="s">
        <v>14</v>
      </c>
      <c r="K78" s="10">
        <f>INT(tblDelivery[[#This Row],[order_time]])</f>
        <v>45660</v>
      </c>
      <c r="L78" s="8">
        <f>HOUR(tblDelivery[[#This Row],[order_time]])</f>
        <v>1</v>
      </c>
      <c r="M78">
        <f>IF(tblDelivery[[#This Row],[delivery_time_min]]&lt;=Time_Target,1,0)</f>
        <v>1</v>
      </c>
      <c r="N78" s="8">
        <f>IF(AND(COUNTBLANK(tblDelivery[[#This Row],[order_id]:[customer_zone]])=0,tblDelivery[[#This Row],[delivery_time_min]]&gt;0,tblDelivery[[#This Row],[distance_km]]&gt;0,tblDelivery[[#This Row],[route_length_km]]&gt;=tblDelivery[[#This Row],[distance_km]]*0.99,COUNTIFS(tblDelivery[order_id],tblDelivery[[#This Row],[order_id]])=1),1,0)</f>
        <v>1</v>
      </c>
      <c r="O78" s="8">
        <f>SUBTOTAL(103,tblDelivery[[#This Row],[order_id]])</f>
        <v>1</v>
      </c>
      <c r="P78" s="8" t="str" cm="1">
        <f t="array" ref="P78">_xlfn.IFS(tblDelivery[[#This Row],[distance_km]]&lt;2,"&lt; 2 km",tblDelivery[[#This Row],[distance_km]]&lt;5,"2 to 5 km",tblDelivery[[#This Row],[distance_km]]&lt;10,"5 to 10 km",TRUE,"10 km and above")</f>
        <v>5 to 10 km</v>
      </c>
      <c r="Q78" s="8" t="str" cm="1">
        <f t="array" ref="Q78">_xlfn.IFS(tblDelivery[[#This Row],[route_length_km]]&lt;2,"&lt;2 km",tblDelivery[[#This Row],[route_length_km]]&lt;5,"2 to 5 km",tblDelivery[[#This Row],[route_length_km]]&lt;10,"5 to 10 km",TRUE,"10 km and above")</f>
        <v>5 to 10 km</v>
      </c>
      <c r="T78" s="8"/>
    </row>
    <row r="79" spans="1:20" x14ac:dyDescent="0.25">
      <c r="A79" s="6">
        <v>78</v>
      </c>
      <c r="B79" s="2">
        <v>3.11</v>
      </c>
      <c r="C79" s="8">
        <v>15.9</v>
      </c>
      <c r="D79" s="3" t="s">
        <v>18</v>
      </c>
      <c r="E79" s="2">
        <v>3.4</v>
      </c>
      <c r="F79" t="s">
        <v>15</v>
      </c>
      <c r="G79" t="s">
        <v>12</v>
      </c>
      <c r="H79" s="1">
        <v>45659.527777777781</v>
      </c>
      <c r="I79" t="s">
        <v>21</v>
      </c>
      <c r="J79" t="s">
        <v>25</v>
      </c>
      <c r="K79" s="10">
        <f>INT(tblDelivery[[#This Row],[order_time]])</f>
        <v>45659</v>
      </c>
      <c r="L79" s="8">
        <f>HOUR(tblDelivery[[#This Row],[order_time]])</f>
        <v>12</v>
      </c>
      <c r="M79">
        <f>IF(tblDelivery[[#This Row],[delivery_time_min]]&lt;=Time_Target,1,0)</f>
        <v>1</v>
      </c>
      <c r="N79" s="8">
        <f>IF(AND(COUNTBLANK(tblDelivery[[#This Row],[order_id]:[customer_zone]])=0,tblDelivery[[#This Row],[delivery_time_min]]&gt;0,tblDelivery[[#This Row],[distance_km]]&gt;0,tblDelivery[[#This Row],[route_length_km]]&gt;=tblDelivery[[#This Row],[distance_km]]*0.99,COUNTIFS(tblDelivery[order_id],tblDelivery[[#This Row],[order_id]])=1),1,0)</f>
        <v>1</v>
      </c>
      <c r="O79" s="8">
        <f>SUBTOTAL(103,tblDelivery[[#This Row],[order_id]])</f>
        <v>1</v>
      </c>
      <c r="P79" s="8" t="str" cm="1">
        <f t="array" ref="P79">_xlfn.IFS(tblDelivery[[#This Row],[distance_km]]&lt;2,"&lt; 2 km",tblDelivery[[#This Row],[distance_km]]&lt;5,"2 to 5 km",tblDelivery[[#This Row],[distance_km]]&lt;10,"5 to 10 km",TRUE,"10 km and above")</f>
        <v>2 to 5 km</v>
      </c>
      <c r="Q79" s="8" t="str" cm="1">
        <f t="array" ref="Q79">_xlfn.IFS(tblDelivery[[#This Row],[route_length_km]]&lt;2,"&lt;2 km",tblDelivery[[#This Row],[route_length_km]]&lt;5,"2 to 5 km",tblDelivery[[#This Row],[route_length_km]]&lt;10,"5 to 10 km",TRUE,"10 km and above")</f>
        <v>2 to 5 km</v>
      </c>
      <c r="T79" s="8"/>
    </row>
    <row r="80" spans="1:20" x14ac:dyDescent="0.25">
      <c r="A80" s="6">
        <v>79</v>
      </c>
      <c r="B80" s="2">
        <v>1.77</v>
      </c>
      <c r="C80" s="8">
        <v>7.9</v>
      </c>
      <c r="D80" s="3" t="s">
        <v>18</v>
      </c>
      <c r="E80" s="2">
        <v>1.89</v>
      </c>
      <c r="F80" t="s">
        <v>23</v>
      </c>
      <c r="G80" t="s">
        <v>16</v>
      </c>
      <c r="H80" s="1">
        <v>45659.03402777778</v>
      </c>
      <c r="I80" t="s">
        <v>21</v>
      </c>
      <c r="J80" t="s">
        <v>14</v>
      </c>
      <c r="K80" s="10">
        <f>INT(tblDelivery[[#This Row],[order_time]])</f>
        <v>45659</v>
      </c>
      <c r="L80" s="8">
        <f>HOUR(tblDelivery[[#This Row],[order_time]])</f>
        <v>0</v>
      </c>
      <c r="M80">
        <f>IF(tblDelivery[[#This Row],[delivery_time_min]]&lt;=Time_Target,1,0)</f>
        <v>1</v>
      </c>
      <c r="N80" s="8">
        <f>IF(AND(COUNTBLANK(tblDelivery[[#This Row],[order_id]:[customer_zone]])=0,tblDelivery[[#This Row],[delivery_time_min]]&gt;0,tblDelivery[[#This Row],[distance_km]]&gt;0,tblDelivery[[#This Row],[route_length_km]]&gt;=tblDelivery[[#This Row],[distance_km]]*0.99,COUNTIFS(tblDelivery[order_id],tblDelivery[[#This Row],[order_id]])=1),1,0)</f>
        <v>1</v>
      </c>
      <c r="O80" s="8">
        <f>SUBTOTAL(103,tblDelivery[[#This Row],[order_id]])</f>
        <v>1</v>
      </c>
      <c r="P80" s="8" t="str" cm="1">
        <f t="array" ref="P80">_xlfn.IFS(tblDelivery[[#This Row],[distance_km]]&lt;2,"&lt; 2 km",tblDelivery[[#This Row],[distance_km]]&lt;5,"2 to 5 km",tblDelivery[[#This Row],[distance_km]]&lt;10,"5 to 10 km",TRUE,"10 km and above")</f>
        <v>&lt; 2 km</v>
      </c>
      <c r="Q80" s="8" t="str" cm="1">
        <f t="array" ref="Q80">_xlfn.IFS(tblDelivery[[#This Row],[route_length_km]]&lt;2,"&lt;2 km",tblDelivery[[#This Row],[route_length_km]]&lt;5,"2 to 5 km",tblDelivery[[#This Row],[route_length_km]]&lt;10,"5 to 10 km",TRUE,"10 km and above")</f>
        <v>&lt;2 km</v>
      </c>
      <c r="T80" s="8"/>
    </row>
    <row r="81" spans="1:20" x14ac:dyDescent="0.25">
      <c r="A81" s="6">
        <v>80</v>
      </c>
      <c r="B81" s="2">
        <v>4.12</v>
      </c>
      <c r="C81" s="8">
        <v>24</v>
      </c>
      <c r="D81" s="3" t="s">
        <v>18</v>
      </c>
      <c r="E81" s="2">
        <v>4.88</v>
      </c>
      <c r="F81" t="s">
        <v>11</v>
      </c>
      <c r="G81" t="s">
        <v>16</v>
      </c>
      <c r="H81" s="1">
        <v>45660.191666666666</v>
      </c>
      <c r="I81" t="s">
        <v>25</v>
      </c>
      <c r="J81" t="s">
        <v>17</v>
      </c>
      <c r="K81" s="10">
        <f>INT(tblDelivery[[#This Row],[order_time]])</f>
        <v>45660</v>
      </c>
      <c r="L81" s="8">
        <f>HOUR(tblDelivery[[#This Row],[order_time]])</f>
        <v>4</v>
      </c>
      <c r="M81">
        <f>IF(tblDelivery[[#This Row],[delivery_time_min]]&lt;=Time_Target,1,0)</f>
        <v>1</v>
      </c>
      <c r="N81" s="8">
        <f>IF(AND(COUNTBLANK(tblDelivery[[#This Row],[order_id]:[customer_zone]])=0,tblDelivery[[#This Row],[delivery_time_min]]&gt;0,tblDelivery[[#This Row],[distance_km]]&gt;0,tblDelivery[[#This Row],[route_length_km]]&gt;=tblDelivery[[#This Row],[distance_km]]*0.99,COUNTIFS(tblDelivery[order_id],tblDelivery[[#This Row],[order_id]])=1),1,0)</f>
        <v>1</v>
      </c>
      <c r="O81" s="8">
        <f>SUBTOTAL(103,tblDelivery[[#This Row],[order_id]])</f>
        <v>1</v>
      </c>
      <c r="P81" s="8" t="str" cm="1">
        <f t="array" ref="P81">_xlfn.IFS(tblDelivery[[#This Row],[distance_km]]&lt;2,"&lt; 2 km",tblDelivery[[#This Row],[distance_km]]&lt;5,"2 to 5 km",tblDelivery[[#This Row],[distance_km]]&lt;10,"5 to 10 km",TRUE,"10 km and above")</f>
        <v>2 to 5 km</v>
      </c>
      <c r="Q81" s="8" t="str" cm="1">
        <f t="array" ref="Q81">_xlfn.IFS(tblDelivery[[#This Row],[route_length_km]]&lt;2,"&lt;2 km",tblDelivery[[#This Row],[route_length_km]]&lt;5,"2 to 5 km",tblDelivery[[#This Row],[route_length_km]]&lt;10,"5 to 10 km",TRUE,"10 km and above")</f>
        <v>2 to 5 km</v>
      </c>
      <c r="T81" s="8"/>
    </row>
    <row r="82" spans="1:20" x14ac:dyDescent="0.25">
      <c r="A82" s="6">
        <v>81</v>
      </c>
      <c r="B82" s="2">
        <v>11.77</v>
      </c>
      <c r="C82" s="8">
        <v>82.4</v>
      </c>
      <c r="D82" s="3" t="s">
        <v>10</v>
      </c>
      <c r="E82" s="2">
        <v>12.55</v>
      </c>
      <c r="F82" t="s">
        <v>15</v>
      </c>
      <c r="G82" t="s">
        <v>16</v>
      </c>
      <c r="H82" s="1">
        <v>45659.954861111109</v>
      </c>
      <c r="I82" t="s">
        <v>21</v>
      </c>
      <c r="J82" t="s">
        <v>25</v>
      </c>
      <c r="K82" s="10">
        <f>INT(tblDelivery[[#This Row],[order_time]])</f>
        <v>45659</v>
      </c>
      <c r="L82" s="8">
        <f>HOUR(tblDelivery[[#This Row],[order_time]])</f>
        <v>22</v>
      </c>
      <c r="M82">
        <f>IF(tblDelivery[[#This Row],[delivery_time_min]]&lt;=Time_Target,1,0)</f>
        <v>0</v>
      </c>
      <c r="N82" s="8">
        <f>IF(AND(COUNTBLANK(tblDelivery[[#This Row],[order_id]:[customer_zone]])=0,tblDelivery[[#This Row],[delivery_time_min]]&gt;0,tblDelivery[[#This Row],[distance_km]]&gt;0,tblDelivery[[#This Row],[route_length_km]]&gt;=tblDelivery[[#This Row],[distance_km]]*0.99,COUNTIFS(tblDelivery[order_id],tblDelivery[[#This Row],[order_id]])=1),1,0)</f>
        <v>1</v>
      </c>
      <c r="O82" s="8">
        <f>SUBTOTAL(103,tblDelivery[[#This Row],[order_id]])</f>
        <v>1</v>
      </c>
      <c r="P82" s="8" t="str" cm="1">
        <f t="array" ref="P82">_xlfn.IFS(tblDelivery[[#This Row],[distance_km]]&lt;2,"&lt; 2 km",tblDelivery[[#This Row],[distance_km]]&lt;5,"2 to 5 km",tblDelivery[[#This Row],[distance_km]]&lt;10,"5 to 10 km",TRUE,"10 km and above")</f>
        <v>10 km and above</v>
      </c>
      <c r="Q82" s="8" t="str" cm="1">
        <f t="array" ref="Q82">_xlfn.IFS(tblDelivery[[#This Row],[route_length_km]]&lt;2,"&lt;2 km",tblDelivery[[#This Row],[route_length_km]]&lt;5,"2 to 5 km",tblDelivery[[#This Row],[route_length_km]]&lt;10,"5 to 10 km",TRUE,"10 km and above")</f>
        <v>10 km and above</v>
      </c>
      <c r="T82" s="8"/>
    </row>
    <row r="83" spans="1:20" x14ac:dyDescent="0.25">
      <c r="A83" s="6">
        <v>82</v>
      </c>
      <c r="B83" s="2">
        <v>4.13</v>
      </c>
      <c r="C83" s="8">
        <v>28.6</v>
      </c>
      <c r="D83" s="3" t="s">
        <v>22</v>
      </c>
      <c r="E83" s="2">
        <v>4.42</v>
      </c>
      <c r="F83" t="s">
        <v>23</v>
      </c>
      <c r="G83" t="s">
        <v>12</v>
      </c>
      <c r="H83" s="1">
        <v>45658.363888888889</v>
      </c>
      <c r="I83" t="s">
        <v>21</v>
      </c>
      <c r="J83" t="s">
        <v>17</v>
      </c>
      <c r="K83" s="10">
        <f>INT(tblDelivery[[#This Row],[order_time]])</f>
        <v>45658</v>
      </c>
      <c r="L83" s="8">
        <f>HOUR(tblDelivery[[#This Row],[order_time]])</f>
        <v>8</v>
      </c>
      <c r="M83">
        <f>IF(tblDelivery[[#This Row],[delivery_time_min]]&lt;=Time_Target,1,0)</f>
        <v>1</v>
      </c>
      <c r="N83" s="8">
        <f>IF(AND(COUNTBLANK(tblDelivery[[#This Row],[order_id]:[customer_zone]])=0,tblDelivery[[#This Row],[delivery_time_min]]&gt;0,tblDelivery[[#This Row],[distance_km]]&gt;0,tblDelivery[[#This Row],[route_length_km]]&gt;=tblDelivery[[#This Row],[distance_km]]*0.99,COUNTIFS(tblDelivery[order_id],tblDelivery[[#This Row],[order_id]])=1),1,0)</f>
        <v>1</v>
      </c>
      <c r="O83" s="8">
        <f>SUBTOTAL(103,tblDelivery[[#This Row],[order_id]])</f>
        <v>1</v>
      </c>
      <c r="P83" s="8" t="str" cm="1">
        <f t="array" ref="P83">_xlfn.IFS(tblDelivery[[#This Row],[distance_km]]&lt;2,"&lt; 2 km",tblDelivery[[#This Row],[distance_km]]&lt;5,"2 to 5 km",tblDelivery[[#This Row],[distance_km]]&lt;10,"5 to 10 km",TRUE,"10 km and above")</f>
        <v>2 to 5 km</v>
      </c>
      <c r="Q83" s="8" t="str" cm="1">
        <f t="array" ref="Q83">_xlfn.IFS(tblDelivery[[#This Row],[route_length_km]]&lt;2,"&lt;2 km",tblDelivery[[#This Row],[route_length_km]]&lt;5,"2 to 5 km",tblDelivery[[#This Row],[route_length_km]]&lt;10,"5 to 10 km",TRUE,"10 km and above")</f>
        <v>2 to 5 km</v>
      </c>
      <c r="T83" s="8"/>
    </row>
    <row r="84" spans="1:20" x14ac:dyDescent="0.25">
      <c r="A84" s="6">
        <v>83</v>
      </c>
      <c r="B84" s="2">
        <v>8.35</v>
      </c>
      <c r="C84" s="8">
        <v>62.2</v>
      </c>
      <c r="D84" s="3" t="s">
        <v>18</v>
      </c>
      <c r="E84" s="2">
        <v>12.42</v>
      </c>
      <c r="F84" t="s">
        <v>11</v>
      </c>
      <c r="G84" t="s">
        <v>24</v>
      </c>
      <c r="H84" s="1">
        <v>45661.229166666664</v>
      </c>
      <c r="I84" t="s">
        <v>13</v>
      </c>
      <c r="J84" t="s">
        <v>13</v>
      </c>
      <c r="K84" s="10">
        <f>INT(tblDelivery[[#This Row],[order_time]])</f>
        <v>45661</v>
      </c>
      <c r="L84" s="8">
        <f>HOUR(tblDelivery[[#This Row],[order_time]])</f>
        <v>5</v>
      </c>
      <c r="M84">
        <f>IF(tblDelivery[[#This Row],[delivery_time_min]]&lt;=Time_Target,1,0)</f>
        <v>0</v>
      </c>
      <c r="N84" s="8">
        <f>IF(AND(COUNTBLANK(tblDelivery[[#This Row],[order_id]:[customer_zone]])=0,tblDelivery[[#This Row],[delivery_time_min]]&gt;0,tblDelivery[[#This Row],[distance_km]]&gt;0,tblDelivery[[#This Row],[route_length_km]]&gt;=tblDelivery[[#This Row],[distance_km]]*0.99,COUNTIFS(tblDelivery[order_id],tblDelivery[[#This Row],[order_id]])=1),1,0)</f>
        <v>1</v>
      </c>
      <c r="O84" s="8">
        <f>SUBTOTAL(103,tblDelivery[[#This Row],[order_id]])</f>
        <v>1</v>
      </c>
      <c r="P84" s="8" t="str" cm="1">
        <f t="array" ref="P84">_xlfn.IFS(tblDelivery[[#This Row],[distance_km]]&lt;2,"&lt; 2 km",tblDelivery[[#This Row],[distance_km]]&lt;5,"2 to 5 km",tblDelivery[[#This Row],[distance_km]]&lt;10,"5 to 10 km",TRUE,"10 km and above")</f>
        <v>5 to 10 km</v>
      </c>
      <c r="Q84" s="8" t="str" cm="1">
        <f t="array" ref="Q84">_xlfn.IFS(tblDelivery[[#This Row],[route_length_km]]&lt;2,"&lt;2 km",tblDelivery[[#This Row],[route_length_km]]&lt;5,"2 to 5 km",tblDelivery[[#This Row],[route_length_km]]&lt;10,"5 to 10 km",TRUE,"10 km and above")</f>
        <v>10 km and above</v>
      </c>
      <c r="T84" s="8"/>
    </row>
    <row r="85" spans="1:20" x14ac:dyDescent="0.25">
      <c r="A85" s="6">
        <v>84</v>
      </c>
      <c r="B85" s="2">
        <v>4.68</v>
      </c>
      <c r="C85" s="8">
        <v>19.899999999999999</v>
      </c>
      <c r="D85" s="3" t="s">
        <v>18</v>
      </c>
      <c r="E85" s="2">
        <v>4.87</v>
      </c>
      <c r="F85" t="s">
        <v>15</v>
      </c>
      <c r="G85" t="s">
        <v>12</v>
      </c>
      <c r="H85" s="1">
        <v>45659.338888888888</v>
      </c>
      <c r="I85" t="s">
        <v>17</v>
      </c>
      <c r="J85" t="s">
        <v>17</v>
      </c>
      <c r="K85" s="10">
        <f>INT(tblDelivery[[#This Row],[order_time]])</f>
        <v>45659</v>
      </c>
      <c r="L85" s="8">
        <f>HOUR(tblDelivery[[#This Row],[order_time]])</f>
        <v>8</v>
      </c>
      <c r="M85">
        <f>IF(tblDelivery[[#This Row],[delivery_time_min]]&lt;=Time_Target,1,0)</f>
        <v>1</v>
      </c>
      <c r="N85" s="8">
        <f>IF(AND(COUNTBLANK(tblDelivery[[#This Row],[order_id]:[customer_zone]])=0,tblDelivery[[#This Row],[delivery_time_min]]&gt;0,tblDelivery[[#This Row],[distance_km]]&gt;0,tblDelivery[[#This Row],[route_length_km]]&gt;=tblDelivery[[#This Row],[distance_km]]*0.99,COUNTIFS(tblDelivery[order_id],tblDelivery[[#This Row],[order_id]])=1),1,0)</f>
        <v>1</v>
      </c>
      <c r="O85" s="8">
        <f>SUBTOTAL(103,tblDelivery[[#This Row],[order_id]])</f>
        <v>1</v>
      </c>
      <c r="P85" s="8" t="str" cm="1">
        <f t="array" ref="P85">_xlfn.IFS(tblDelivery[[#This Row],[distance_km]]&lt;2,"&lt; 2 km",tblDelivery[[#This Row],[distance_km]]&lt;5,"2 to 5 km",tblDelivery[[#This Row],[distance_km]]&lt;10,"5 to 10 km",TRUE,"10 km and above")</f>
        <v>2 to 5 km</v>
      </c>
      <c r="Q85" s="8" t="str" cm="1">
        <f t="array" ref="Q85">_xlfn.IFS(tblDelivery[[#This Row],[route_length_km]]&lt;2,"&lt;2 km",tblDelivery[[#This Row],[route_length_km]]&lt;5,"2 to 5 km",tblDelivery[[#This Row],[route_length_km]]&lt;10,"5 to 10 km",TRUE,"10 km and above")</f>
        <v>2 to 5 km</v>
      </c>
      <c r="T85" s="8"/>
    </row>
    <row r="86" spans="1:20" x14ac:dyDescent="0.25">
      <c r="A86" s="6">
        <v>85</v>
      </c>
      <c r="B86" s="2">
        <v>4.24</v>
      </c>
      <c r="C86" s="8">
        <v>29.5</v>
      </c>
      <c r="D86" s="3" t="s">
        <v>22</v>
      </c>
      <c r="E86" s="2">
        <v>4.4800000000000004</v>
      </c>
      <c r="F86" t="s">
        <v>15</v>
      </c>
      <c r="G86" t="s">
        <v>12</v>
      </c>
      <c r="H86" s="1">
        <v>45659.086111111108</v>
      </c>
      <c r="I86" t="s">
        <v>21</v>
      </c>
      <c r="J86" t="s">
        <v>17</v>
      </c>
      <c r="K86" s="10">
        <f>INT(tblDelivery[[#This Row],[order_time]])</f>
        <v>45659</v>
      </c>
      <c r="L86" s="8">
        <f>HOUR(tblDelivery[[#This Row],[order_time]])</f>
        <v>2</v>
      </c>
      <c r="M86">
        <f>IF(tblDelivery[[#This Row],[delivery_time_min]]&lt;=Time_Target,1,0)</f>
        <v>1</v>
      </c>
      <c r="N86" s="8">
        <f>IF(AND(COUNTBLANK(tblDelivery[[#This Row],[order_id]:[customer_zone]])=0,tblDelivery[[#This Row],[delivery_time_min]]&gt;0,tblDelivery[[#This Row],[distance_km]]&gt;0,tblDelivery[[#This Row],[route_length_km]]&gt;=tblDelivery[[#This Row],[distance_km]]*0.99,COUNTIFS(tblDelivery[order_id],tblDelivery[[#This Row],[order_id]])=1),1,0)</f>
        <v>1</v>
      </c>
      <c r="O86" s="8">
        <f>SUBTOTAL(103,tblDelivery[[#This Row],[order_id]])</f>
        <v>1</v>
      </c>
      <c r="P86" s="8" t="str" cm="1">
        <f t="array" ref="P86">_xlfn.IFS(tblDelivery[[#This Row],[distance_km]]&lt;2,"&lt; 2 km",tblDelivery[[#This Row],[distance_km]]&lt;5,"2 to 5 km",tblDelivery[[#This Row],[distance_km]]&lt;10,"5 to 10 km",TRUE,"10 km and above")</f>
        <v>2 to 5 km</v>
      </c>
      <c r="Q86" s="8" t="str" cm="1">
        <f t="array" ref="Q86">_xlfn.IFS(tblDelivery[[#This Row],[route_length_km]]&lt;2,"&lt;2 km",tblDelivery[[#This Row],[route_length_km]]&lt;5,"2 to 5 km",tblDelivery[[#This Row],[route_length_km]]&lt;10,"5 to 10 km",TRUE,"10 km and above")</f>
        <v>2 to 5 km</v>
      </c>
      <c r="T86" s="8"/>
    </row>
    <row r="87" spans="1:20" x14ac:dyDescent="0.25">
      <c r="A87" s="6">
        <v>86</v>
      </c>
      <c r="B87" s="2">
        <v>2.15</v>
      </c>
      <c r="C87" s="8">
        <v>12.7</v>
      </c>
      <c r="D87" s="3" t="s">
        <v>10</v>
      </c>
      <c r="E87" s="2">
        <v>2.78</v>
      </c>
      <c r="F87" t="s">
        <v>11</v>
      </c>
      <c r="G87" t="s">
        <v>20</v>
      </c>
      <c r="H87" s="1">
        <v>45659.294444444444</v>
      </c>
      <c r="I87" t="s">
        <v>21</v>
      </c>
      <c r="J87" t="s">
        <v>25</v>
      </c>
      <c r="K87" s="10">
        <f>INT(tblDelivery[[#This Row],[order_time]])</f>
        <v>45659</v>
      </c>
      <c r="L87" s="8">
        <f>HOUR(tblDelivery[[#This Row],[order_time]])</f>
        <v>7</v>
      </c>
      <c r="M87">
        <f>IF(tblDelivery[[#This Row],[delivery_time_min]]&lt;=Time_Target,1,0)</f>
        <v>1</v>
      </c>
      <c r="N87" s="8">
        <f>IF(AND(COUNTBLANK(tblDelivery[[#This Row],[order_id]:[customer_zone]])=0,tblDelivery[[#This Row],[delivery_time_min]]&gt;0,tblDelivery[[#This Row],[distance_km]]&gt;0,tblDelivery[[#This Row],[route_length_km]]&gt;=tblDelivery[[#This Row],[distance_km]]*0.99,COUNTIFS(tblDelivery[order_id],tblDelivery[[#This Row],[order_id]])=1),1,0)</f>
        <v>1</v>
      </c>
      <c r="O87" s="8">
        <f>SUBTOTAL(103,tblDelivery[[#This Row],[order_id]])</f>
        <v>1</v>
      </c>
      <c r="P87" s="8" t="str" cm="1">
        <f t="array" ref="P87">_xlfn.IFS(tblDelivery[[#This Row],[distance_km]]&lt;2,"&lt; 2 km",tblDelivery[[#This Row],[distance_km]]&lt;5,"2 to 5 km",tblDelivery[[#This Row],[distance_km]]&lt;10,"5 to 10 km",TRUE,"10 km and above")</f>
        <v>2 to 5 km</v>
      </c>
      <c r="Q87" s="8" t="str" cm="1">
        <f t="array" ref="Q87">_xlfn.IFS(tblDelivery[[#This Row],[route_length_km]]&lt;2,"&lt;2 km",tblDelivery[[#This Row],[route_length_km]]&lt;5,"2 to 5 km",tblDelivery[[#This Row],[route_length_km]]&lt;10,"5 to 10 km",TRUE,"10 km and above")</f>
        <v>2 to 5 km</v>
      </c>
      <c r="T87" s="8"/>
    </row>
    <row r="88" spans="1:20" x14ac:dyDescent="0.25">
      <c r="A88" s="6">
        <v>87</v>
      </c>
      <c r="B88" s="2">
        <v>0.71</v>
      </c>
      <c r="C88" s="8">
        <v>5.2</v>
      </c>
      <c r="D88" s="3" t="s">
        <v>10</v>
      </c>
      <c r="E88" s="2">
        <v>0.88</v>
      </c>
      <c r="F88" t="s">
        <v>23</v>
      </c>
      <c r="G88" t="s">
        <v>20</v>
      </c>
      <c r="H88" s="1">
        <v>45660.631944444445</v>
      </c>
      <c r="I88" t="s">
        <v>13</v>
      </c>
      <c r="J88" t="s">
        <v>21</v>
      </c>
      <c r="K88" s="10">
        <f>INT(tblDelivery[[#This Row],[order_time]])</f>
        <v>45660</v>
      </c>
      <c r="L88" s="8">
        <f>HOUR(tblDelivery[[#This Row],[order_time]])</f>
        <v>15</v>
      </c>
      <c r="M88">
        <f>IF(tblDelivery[[#This Row],[delivery_time_min]]&lt;=Time_Target,1,0)</f>
        <v>1</v>
      </c>
      <c r="N88" s="8">
        <f>IF(AND(COUNTBLANK(tblDelivery[[#This Row],[order_id]:[customer_zone]])=0,tblDelivery[[#This Row],[delivery_time_min]]&gt;0,tblDelivery[[#This Row],[distance_km]]&gt;0,tblDelivery[[#This Row],[route_length_km]]&gt;=tblDelivery[[#This Row],[distance_km]]*0.99,COUNTIFS(tblDelivery[order_id],tblDelivery[[#This Row],[order_id]])=1),1,0)</f>
        <v>1</v>
      </c>
      <c r="O88" s="8">
        <f>SUBTOTAL(103,tblDelivery[[#This Row],[order_id]])</f>
        <v>1</v>
      </c>
      <c r="P88" s="8" t="str" cm="1">
        <f t="array" ref="P88">_xlfn.IFS(tblDelivery[[#This Row],[distance_km]]&lt;2,"&lt; 2 km",tblDelivery[[#This Row],[distance_km]]&lt;5,"2 to 5 km",tblDelivery[[#This Row],[distance_km]]&lt;10,"5 to 10 km",TRUE,"10 km and above")</f>
        <v>&lt; 2 km</v>
      </c>
      <c r="Q88" s="8" t="str" cm="1">
        <f t="array" ref="Q88">_xlfn.IFS(tblDelivery[[#This Row],[route_length_km]]&lt;2,"&lt;2 km",tblDelivery[[#This Row],[route_length_km]]&lt;5,"2 to 5 km",tblDelivery[[#This Row],[route_length_km]]&lt;10,"5 to 10 km",TRUE,"10 km and above")</f>
        <v>&lt;2 km</v>
      </c>
      <c r="T88" s="8"/>
    </row>
    <row r="89" spans="1:20" x14ac:dyDescent="0.25">
      <c r="A89" s="6">
        <v>88</v>
      </c>
      <c r="B89" s="2">
        <v>0.61</v>
      </c>
      <c r="C89" s="8">
        <v>3</v>
      </c>
      <c r="D89" s="3" t="s">
        <v>18</v>
      </c>
      <c r="E89" s="2">
        <v>0.74</v>
      </c>
      <c r="F89" t="s">
        <v>19</v>
      </c>
      <c r="G89" t="s">
        <v>12</v>
      </c>
      <c r="H89" s="1">
        <v>45658.859027777777</v>
      </c>
      <c r="I89" t="s">
        <v>21</v>
      </c>
      <c r="J89" t="s">
        <v>17</v>
      </c>
      <c r="K89" s="10">
        <f>INT(tblDelivery[[#This Row],[order_time]])</f>
        <v>45658</v>
      </c>
      <c r="L89" s="8">
        <f>HOUR(tblDelivery[[#This Row],[order_time]])</f>
        <v>20</v>
      </c>
      <c r="M89">
        <f>IF(tblDelivery[[#This Row],[delivery_time_min]]&lt;=Time_Target,1,0)</f>
        <v>1</v>
      </c>
      <c r="N89" s="8">
        <f>IF(AND(COUNTBLANK(tblDelivery[[#This Row],[order_id]:[customer_zone]])=0,tblDelivery[[#This Row],[delivery_time_min]]&gt;0,tblDelivery[[#This Row],[distance_km]]&gt;0,tblDelivery[[#This Row],[route_length_km]]&gt;=tblDelivery[[#This Row],[distance_km]]*0.99,COUNTIFS(tblDelivery[order_id],tblDelivery[[#This Row],[order_id]])=1),1,0)</f>
        <v>1</v>
      </c>
      <c r="O89" s="8">
        <f>SUBTOTAL(103,tblDelivery[[#This Row],[order_id]])</f>
        <v>1</v>
      </c>
      <c r="P89" s="8" t="str" cm="1">
        <f t="array" ref="P89">_xlfn.IFS(tblDelivery[[#This Row],[distance_km]]&lt;2,"&lt; 2 km",tblDelivery[[#This Row],[distance_km]]&lt;5,"2 to 5 km",tblDelivery[[#This Row],[distance_km]]&lt;10,"5 to 10 km",TRUE,"10 km and above")</f>
        <v>&lt; 2 km</v>
      </c>
      <c r="Q89" s="8" t="str" cm="1">
        <f t="array" ref="Q89">_xlfn.IFS(tblDelivery[[#This Row],[route_length_km]]&lt;2,"&lt;2 km",tblDelivery[[#This Row],[route_length_km]]&lt;5,"2 to 5 km",tblDelivery[[#This Row],[route_length_km]]&lt;10,"5 to 10 km",TRUE,"10 km and above")</f>
        <v>&lt;2 km</v>
      </c>
      <c r="T89" s="8"/>
    </row>
    <row r="90" spans="1:20" x14ac:dyDescent="0.25">
      <c r="A90" s="6">
        <v>89</v>
      </c>
      <c r="B90" s="2">
        <v>10.32</v>
      </c>
      <c r="C90" s="8">
        <v>63.9</v>
      </c>
      <c r="D90" s="3" t="s">
        <v>10</v>
      </c>
      <c r="E90" s="2">
        <v>10.44</v>
      </c>
      <c r="F90" t="s">
        <v>15</v>
      </c>
      <c r="G90" t="s">
        <v>16</v>
      </c>
      <c r="H90" s="1">
        <v>45661.763194444444</v>
      </c>
      <c r="I90" t="s">
        <v>25</v>
      </c>
      <c r="J90" t="s">
        <v>14</v>
      </c>
      <c r="K90" s="10">
        <f>INT(tblDelivery[[#This Row],[order_time]])</f>
        <v>45661</v>
      </c>
      <c r="L90" s="8">
        <f>HOUR(tblDelivery[[#This Row],[order_time]])</f>
        <v>18</v>
      </c>
      <c r="M90">
        <f>IF(tblDelivery[[#This Row],[delivery_time_min]]&lt;=Time_Target,1,0)</f>
        <v>0</v>
      </c>
      <c r="N90" s="8">
        <f>IF(AND(COUNTBLANK(tblDelivery[[#This Row],[order_id]:[customer_zone]])=0,tblDelivery[[#This Row],[delivery_time_min]]&gt;0,tblDelivery[[#This Row],[distance_km]]&gt;0,tblDelivery[[#This Row],[route_length_km]]&gt;=tblDelivery[[#This Row],[distance_km]]*0.99,COUNTIFS(tblDelivery[order_id],tblDelivery[[#This Row],[order_id]])=1),1,0)</f>
        <v>1</v>
      </c>
      <c r="O90" s="8">
        <f>SUBTOTAL(103,tblDelivery[[#This Row],[order_id]])</f>
        <v>1</v>
      </c>
      <c r="P90" s="8" t="str" cm="1">
        <f t="array" ref="P90">_xlfn.IFS(tblDelivery[[#This Row],[distance_km]]&lt;2,"&lt; 2 km",tblDelivery[[#This Row],[distance_km]]&lt;5,"2 to 5 km",tblDelivery[[#This Row],[distance_km]]&lt;10,"5 to 10 km",TRUE,"10 km and above")</f>
        <v>10 km and above</v>
      </c>
      <c r="Q90" s="8" t="str" cm="1">
        <f t="array" ref="Q90">_xlfn.IFS(tblDelivery[[#This Row],[route_length_km]]&lt;2,"&lt;2 km",tblDelivery[[#This Row],[route_length_km]]&lt;5,"2 to 5 km",tblDelivery[[#This Row],[route_length_km]]&lt;10,"5 to 10 km",TRUE,"10 km and above")</f>
        <v>10 km and above</v>
      </c>
      <c r="T90" s="8"/>
    </row>
    <row r="91" spans="1:20" x14ac:dyDescent="0.25">
      <c r="A91" s="6">
        <v>90</v>
      </c>
      <c r="B91" s="2">
        <v>5.08</v>
      </c>
      <c r="C91" s="8">
        <v>35.700000000000003</v>
      </c>
      <c r="D91" s="3" t="s">
        <v>22</v>
      </c>
      <c r="E91" s="2">
        <v>5.73</v>
      </c>
      <c r="F91" t="s">
        <v>19</v>
      </c>
      <c r="G91" t="s">
        <v>24</v>
      </c>
      <c r="H91" s="1">
        <v>45660.119444444441</v>
      </c>
      <c r="I91" t="s">
        <v>13</v>
      </c>
      <c r="J91" t="s">
        <v>17</v>
      </c>
      <c r="K91" s="10">
        <f>INT(tblDelivery[[#This Row],[order_time]])</f>
        <v>45660</v>
      </c>
      <c r="L91" s="8">
        <f>HOUR(tblDelivery[[#This Row],[order_time]])</f>
        <v>2</v>
      </c>
      <c r="M91">
        <f>IF(tblDelivery[[#This Row],[delivery_time_min]]&lt;=Time_Target,1,0)</f>
        <v>1</v>
      </c>
      <c r="N91" s="8">
        <f>IF(AND(COUNTBLANK(tblDelivery[[#This Row],[order_id]:[customer_zone]])=0,tblDelivery[[#This Row],[delivery_time_min]]&gt;0,tblDelivery[[#This Row],[distance_km]]&gt;0,tblDelivery[[#This Row],[route_length_km]]&gt;=tblDelivery[[#This Row],[distance_km]]*0.99,COUNTIFS(tblDelivery[order_id],tblDelivery[[#This Row],[order_id]])=1),1,0)</f>
        <v>1</v>
      </c>
      <c r="O91" s="8">
        <f>SUBTOTAL(103,tblDelivery[[#This Row],[order_id]])</f>
        <v>1</v>
      </c>
      <c r="P91" s="8" t="str" cm="1">
        <f t="array" ref="P91">_xlfn.IFS(tblDelivery[[#This Row],[distance_km]]&lt;2,"&lt; 2 km",tblDelivery[[#This Row],[distance_km]]&lt;5,"2 to 5 km",tblDelivery[[#This Row],[distance_km]]&lt;10,"5 to 10 km",TRUE,"10 km and above")</f>
        <v>5 to 10 km</v>
      </c>
      <c r="Q91" s="8" t="str" cm="1">
        <f t="array" ref="Q91">_xlfn.IFS(tblDelivery[[#This Row],[route_length_km]]&lt;2,"&lt;2 km",tblDelivery[[#This Row],[route_length_km]]&lt;5,"2 to 5 km",tblDelivery[[#This Row],[route_length_km]]&lt;10,"5 to 10 km",TRUE,"10 km and above")</f>
        <v>5 to 10 km</v>
      </c>
      <c r="T91" s="8"/>
    </row>
    <row r="92" spans="1:20" x14ac:dyDescent="0.25">
      <c r="A92" s="6">
        <v>91</v>
      </c>
      <c r="B92" s="2">
        <v>4.4400000000000004</v>
      </c>
      <c r="C92" s="8">
        <v>40.799999999999997</v>
      </c>
      <c r="D92" s="3" t="s">
        <v>22</v>
      </c>
      <c r="E92" s="2">
        <v>6.12</v>
      </c>
      <c r="F92" t="s">
        <v>19</v>
      </c>
      <c r="G92" t="s">
        <v>16</v>
      </c>
      <c r="H92" s="1">
        <v>45659.67291666667</v>
      </c>
      <c r="I92" t="s">
        <v>21</v>
      </c>
      <c r="J92" t="s">
        <v>21</v>
      </c>
      <c r="K92" s="10">
        <f>INT(tblDelivery[[#This Row],[order_time]])</f>
        <v>45659</v>
      </c>
      <c r="L92" s="8">
        <f>HOUR(tblDelivery[[#This Row],[order_time]])</f>
        <v>16</v>
      </c>
      <c r="M92">
        <f>IF(tblDelivery[[#This Row],[delivery_time_min]]&lt;=Time_Target,1,0)</f>
        <v>1</v>
      </c>
      <c r="N92" s="8">
        <f>IF(AND(COUNTBLANK(tblDelivery[[#This Row],[order_id]:[customer_zone]])=0,tblDelivery[[#This Row],[delivery_time_min]]&gt;0,tblDelivery[[#This Row],[distance_km]]&gt;0,tblDelivery[[#This Row],[route_length_km]]&gt;=tblDelivery[[#This Row],[distance_km]]*0.99,COUNTIFS(tblDelivery[order_id],tblDelivery[[#This Row],[order_id]])=1),1,0)</f>
        <v>1</v>
      </c>
      <c r="O92" s="8">
        <f>SUBTOTAL(103,tblDelivery[[#This Row],[order_id]])</f>
        <v>1</v>
      </c>
      <c r="P92" s="8" t="str" cm="1">
        <f t="array" ref="P92">_xlfn.IFS(tblDelivery[[#This Row],[distance_km]]&lt;2,"&lt; 2 km",tblDelivery[[#This Row],[distance_km]]&lt;5,"2 to 5 km",tblDelivery[[#This Row],[distance_km]]&lt;10,"5 to 10 km",TRUE,"10 km and above")</f>
        <v>2 to 5 km</v>
      </c>
      <c r="Q92" s="8" t="str" cm="1">
        <f t="array" ref="Q92">_xlfn.IFS(tblDelivery[[#This Row],[route_length_km]]&lt;2,"&lt;2 km",tblDelivery[[#This Row],[route_length_km]]&lt;5,"2 to 5 km",tblDelivery[[#This Row],[route_length_km]]&lt;10,"5 to 10 km",TRUE,"10 km and above")</f>
        <v>5 to 10 km</v>
      </c>
      <c r="T92" s="8"/>
    </row>
    <row r="93" spans="1:20" x14ac:dyDescent="0.25">
      <c r="A93" s="6">
        <v>92</v>
      </c>
      <c r="B93" s="2">
        <v>5.33</v>
      </c>
      <c r="C93" s="8">
        <v>47.4</v>
      </c>
      <c r="D93" s="3" t="s">
        <v>22</v>
      </c>
      <c r="E93" s="2">
        <v>7.54</v>
      </c>
      <c r="F93" t="s">
        <v>11</v>
      </c>
      <c r="G93" t="s">
        <v>20</v>
      </c>
      <c r="H93" s="1">
        <v>45658.740277777775</v>
      </c>
      <c r="I93" t="s">
        <v>13</v>
      </c>
      <c r="J93" t="s">
        <v>17</v>
      </c>
      <c r="K93" s="10">
        <f>INT(tblDelivery[[#This Row],[order_time]])</f>
        <v>45658</v>
      </c>
      <c r="L93" s="8">
        <f>HOUR(tblDelivery[[#This Row],[order_time]])</f>
        <v>17</v>
      </c>
      <c r="M93">
        <f>IF(tblDelivery[[#This Row],[delivery_time_min]]&lt;=Time_Target,1,0)</f>
        <v>0</v>
      </c>
      <c r="N93" s="8">
        <f>IF(AND(COUNTBLANK(tblDelivery[[#This Row],[order_id]:[customer_zone]])=0,tblDelivery[[#This Row],[delivery_time_min]]&gt;0,tblDelivery[[#This Row],[distance_km]]&gt;0,tblDelivery[[#This Row],[route_length_km]]&gt;=tblDelivery[[#This Row],[distance_km]]*0.99,COUNTIFS(tblDelivery[order_id],tblDelivery[[#This Row],[order_id]])=1),1,0)</f>
        <v>1</v>
      </c>
      <c r="O93" s="8">
        <f>SUBTOTAL(103,tblDelivery[[#This Row],[order_id]])</f>
        <v>1</v>
      </c>
      <c r="P93" s="8" t="str" cm="1">
        <f t="array" ref="P93">_xlfn.IFS(tblDelivery[[#This Row],[distance_km]]&lt;2,"&lt; 2 km",tblDelivery[[#This Row],[distance_km]]&lt;5,"2 to 5 km",tblDelivery[[#This Row],[distance_km]]&lt;10,"5 to 10 km",TRUE,"10 km and above")</f>
        <v>5 to 10 km</v>
      </c>
      <c r="Q93" s="8" t="str" cm="1">
        <f t="array" ref="Q93">_xlfn.IFS(tblDelivery[[#This Row],[route_length_km]]&lt;2,"&lt;2 km",tblDelivery[[#This Row],[route_length_km]]&lt;5,"2 to 5 km",tblDelivery[[#This Row],[route_length_km]]&lt;10,"5 to 10 km",TRUE,"10 km and above")</f>
        <v>5 to 10 km</v>
      </c>
      <c r="T93" s="8"/>
    </row>
    <row r="94" spans="1:20" x14ac:dyDescent="0.25">
      <c r="A94" s="6">
        <v>93</v>
      </c>
      <c r="B94" s="2">
        <v>10.07</v>
      </c>
      <c r="C94" s="8">
        <v>56.8</v>
      </c>
      <c r="D94" s="3" t="s">
        <v>22</v>
      </c>
      <c r="E94" s="2">
        <v>12.82</v>
      </c>
      <c r="F94" t="s">
        <v>23</v>
      </c>
      <c r="G94" t="s">
        <v>24</v>
      </c>
      <c r="H94" s="1">
        <v>45659.09652777778</v>
      </c>
      <c r="I94" t="s">
        <v>13</v>
      </c>
      <c r="J94" t="s">
        <v>13</v>
      </c>
      <c r="K94" s="10">
        <f>INT(tblDelivery[[#This Row],[order_time]])</f>
        <v>45659</v>
      </c>
      <c r="L94" s="8">
        <f>HOUR(tblDelivery[[#This Row],[order_time]])</f>
        <v>2</v>
      </c>
      <c r="M94">
        <f>IF(tblDelivery[[#This Row],[delivery_time_min]]&lt;=Time_Target,1,0)</f>
        <v>0</v>
      </c>
      <c r="N94" s="8">
        <f>IF(AND(COUNTBLANK(tblDelivery[[#This Row],[order_id]:[customer_zone]])=0,tblDelivery[[#This Row],[delivery_time_min]]&gt;0,tblDelivery[[#This Row],[distance_km]]&gt;0,tblDelivery[[#This Row],[route_length_km]]&gt;=tblDelivery[[#This Row],[distance_km]]*0.99,COUNTIFS(tblDelivery[order_id],tblDelivery[[#This Row],[order_id]])=1),1,0)</f>
        <v>1</v>
      </c>
      <c r="O94" s="8">
        <f>SUBTOTAL(103,tblDelivery[[#This Row],[order_id]])</f>
        <v>1</v>
      </c>
      <c r="P94" s="8" t="str" cm="1">
        <f t="array" ref="P94">_xlfn.IFS(tblDelivery[[#This Row],[distance_km]]&lt;2,"&lt; 2 km",tblDelivery[[#This Row],[distance_km]]&lt;5,"2 to 5 km",tblDelivery[[#This Row],[distance_km]]&lt;10,"5 to 10 km",TRUE,"10 km and above")</f>
        <v>10 km and above</v>
      </c>
      <c r="Q94" s="8" t="str" cm="1">
        <f t="array" ref="Q94">_xlfn.IFS(tblDelivery[[#This Row],[route_length_km]]&lt;2,"&lt;2 km",tblDelivery[[#This Row],[route_length_km]]&lt;5,"2 to 5 km",tblDelivery[[#This Row],[route_length_km]]&lt;10,"5 to 10 km",TRUE,"10 km and above")</f>
        <v>10 km and above</v>
      </c>
      <c r="T94" s="8"/>
    </row>
    <row r="95" spans="1:20" x14ac:dyDescent="0.25">
      <c r="A95" s="6">
        <v>94</v>
      </c>
      <c r="B95" s="2">
        <v>9.58</v>
      </c>
      <c r="C95" s="8">
        <v>73.5</v>
      </c>
      <c r="D95" s="3" t="s">
        <v>22</v>
      </c>
      <c r="E95" s="2">
        <v>13.07</v>
      </c>
      <c r="F95" t="s">
        <v>19</v>
      </c>
      <c r="G95" t="s">
        <v>16</v>
      </c>
      <c r="H95" s="1">
        <v>45661.49722222222</v>
      </c>
      <c r="I95" t="s">
        <v>13</v>
      </c>
      <c r="J95" t="s">
        <v>14</v>
      </c>
      <c r="K95" s="10">
        <f>INT(tblDelivery[[#This Row],[order_time]])</f>
        <v>45661</v>
      </c>
      <c r="L95" s="8">
        <f>HOUR(tblDelivery[[#This Row],[order_time]])</f>
        <v>11</v>
      </c>
      <c r="M95">
        <f>IF(tblDelivery[[#This Row],[delivery_time_min]]&lt;=Time_Target,1,0)</f>
        <v>0</v>
      </c>
      <c r="N95" s="8">
        <f>IF(AND(COUNTBLANK(tblDelivery[[#This Row],[order_id]:[customer_zone]])=0,tblDelivery[[#This Row],[delivery_time_min]]&gt;0,tblDelivery[[#This Row],[distance_km]]&gt;0,tblDelivery[[#This Row],[route_length_km]]&gt;=tblDelivery[[#This Row],[distance_km]]*0.99,COUNTIFS(tblDelivery[order_id],tblDelivery[[#This Row],[order_id]])=1),1,0)</f>
        <v>1</v>
      </c>
      <c r="O95" s="8">
        <f>SUBTOTAL(103,tblDelivery[[#This Row],[order_id]])</f>
        <v>1</v>
      </c>
      <c r="P95" s="8" t="str" cm="1">
        <f t="array" ref="P95">_xlfn.IFS(tblDelivery[[#This Row],[distance_km]]&lt;2,"&lt; 2 km",tblDelivery[[#This Row],[distance_km]]&lt;5,"2 to 5 km",tblDelivery[[#This Row],[distance_km]]&lt;10,"5 to 10 km",TRUE,"10 km and above")</f>
        <v>5 to 10 km</v>
      </c>
      <c r="Q95" s="8" t="str" cm="1">
        <f t="array" ref="Q95">_xlfn.IFS(tblDelivery[[#This Row],[route_length_km]]&lt;2,"&lt;2 km",tblDelivery[[#This Row],[route_length_km]]&lt;5,"2 to 5 km",tblDelivery[[#This Row],[route_length_km]]&lt;10,"5 to 10 km",TRUE,"10 km and above")</f>
        <v>10 km and above</v>
      </c>
      <c r="T95" s="8"/>
    </row>
    <row r="96" spans="1:20" x14ac:dyDescent="0.25">
      <c r="A96" s="6">
        <v>95</v>
      </c>
      <c r="B96" s="2">
        <v>8.08</v>
      </c>
      <c r="C96" s="8">
        <v>51.1</v>
      </c>
      <c r="D96" s="3" t="s">
        <v>22</v>
      </c>
      <c r="E96" s="2">
        <v>10.96</v>
      </c>
      <c r="F96" t="s">
        <v>19</v>
      </c>
      <c r="G96" t="s">
        <v>20</v>
      </c>
      <c r="H96" s="1">
        <v>45659.865972222222</v>
      </c>
      <c r="I96" t="s">
        <v>17</v>
      </c>
      <c r="J96" t="s">
        <v>25</v>
      </c>
      <c r="K96" s="10">
        <f>INT(tblDelivery[[#This Row],[order_time]])</f>
        <v>45659</v>
      </c>
      <c r="L96" s="8">
        <f>HOUR(tblDelivery[[#This Row],[order_time]])</f>
        <v>20</v>
      </c>
      <c r="M96">
        <f>IF(tblDelivery[[#This Row],[delivery_time_min]]&lt;=Time_Target,1,0)</f>
        <v>0</v>
      </c>
      <c r="N96" s="8">
        <f>IF(AND(COUNTBLANK(tblDelivery[[#This Row],[order_id]:[customer_zone]])=0,tblDelivery[[#This Row],[delivery_time_min]]&gt;0,tblDelivery[[#This Row],[distance_km]]&gt;0,tblDelivery[[#This Row],[route_length_km]]&gt;=tblDelivery[[#This Row],[distance_km]]*0.99,COUNTIFS(tblDelivery[order_id],tblDelivery[[#This Row],[order_id]])=1),1,0)</f>
        <v>1</v>
      </c>
      <c r="O96" s="8">
        <f>SUBTOTAL(103,tblDelivery[[#This Row],[order_id]])</f>
        <v>1</v>
      </c>
      <c r="P96" s="8" t="str" cm="1">
        <f t="array" ref="P96">_xlfn.IFS(tblDelivery[[#This Row],[distance_km]]&lt;2,"&lt; 2 km",tblDelivery[[#This Row],[distance_km]]&lt;5,"2 to 5 km",tblDelivery[[#This Row],[distance_km]]&lt;10,"5 to 10 km",TRUE,"10 km and above")</f>
        <v>5 to 10 km</v>
      </c>
      <c r="Q96" s="8" t="str" cm="1">
        <f t="array" ref="Q96">_xlfn.IFS(tblDelivery[[#This Row],[route_length_km]]&lt;2,"&lt;2 km",tblDelivery[[#This Row],[route_length_km]]&lt;5,"2 to 5 km",tblDelivery[[#This Row],[route_length_km]]&lt;10,"5 to 10 km",TRUE,"10 km and above")</f>
        <v>10 km and above</v>
      </c>
      <c r="T96" s="8"/>
    </row>
    <row r="97" spans="1:20" x14ac:dyDescent="0.25">
      <c r="A97" s="6">
        <v>96</v>
      </c>
      <c r="B97" s="2">
        <v>6.66</v>
      </c>
      <c r="C97" s="8">
        <v>36.5</v>
      </c>
      <c r="D97" s="3" t="s">
        <v>22</v>
      </c>
      <c r="E97" s="2">
        <v>8.48</v>
      </c>
      <c r="F97" t="s">
        <v>23</v>
      </c>
      <c r="G97" t="s">
        <v>12</v>
      </c>
      <c r="H97" s="1">
        <v>45660.473611111112</v>
      </c>
      <c r="I97" t="s">
        <v>21</v>
      </c>
      <c r="J97" t="s">
        <v>14</v>
      </c>
      <c r="K97" s="10">
        <f>INT(tblDelivery[[#This Row],[order_time]])</f>
        <v>45660</v>
      </c>
      <c r="L97" s="8">
        <f>HOUR(tblDelivery[[#This Row],[order_time]])</f>
        <v>11</v>
      </c>
      <c r="M97">
        <f>IF(tblDelivery[[#This Row],[delivery_time_min]]&lt;=Time_Target,1,0)</f>
        <v>1</v>
      </c>
      <c r="N97" s="8">
        <f>IF(AND(COUNTBLANK(tblDelivery[[#This Row],[order_id]:[customer_zone]])=0,tblDelivery[[#This Row],[delivery_time_min]]&gt;0,tblDelivery[[#This Row],[distance_km]]&gt;0,tblDelivery[[#This Row],[route_length_km]]&gt;=tblDelivery[[#This Row],[distance_km]]*0.99,COUNTIFS(tblDelivery[order_id],tblDelivery[[#This Row],[order_id]])=1),1,0)</f>
        <v>1</v>
      </c>
      <c r="O97" s="8">
        <f>SUBTOTAL(103,tblDelivery[[#This Row],[order_id]])</f>
        <v>1</v>
      </c>
      <c r="P97" s="8" t="str" cm="1">
        <f t="array" ref="P97">_xlfn.IFS(tblDelivery[[#This Row],[distance_km]]&lt;2,"&lt; 2 km",tblDelivery[[#This Row],[distance_km]]&lt;5,"2 to 5 km",tblDelivery[[#This Row],[distance_km]]&lt;10,"5 to 10 km",TRUE,"10 km and above")</f>
        <v>5 to 10 km</v>
      </c>
      <c r="Q97" s="8" t="str" cm="1">
        <f t="array" ref="Q97">_xlfn.IFS(tblDelivery[[#This Row],[route_length_km]]&lt;2,"&lt;2 km",tblDelivery[[#This Row],[route_length_km]]&lt;5,"2 to 5 km",tblDelivery[[#This Row],[route_length_km]]&lt;10,"5 to 10 km",TRUE,"10 km and above")</f>
        <v>5 to 10 km</v>
      </c>
      <c r="T97" s="8"/>
    </row>
    <row r="98" spans="1:20" x14ac:dyDescent="0.25">
      <c r="A98" s="6">
        <v>97</v>
      </c>
      <c r="B98" s="2">
        <v>1.47</v>
      </c>
      <c r="C98" s="8">
        <v>9.8000000000000007</v>
      </c>
      <c r="D98" s="3" t="s">
        <v>18</v>
      </c>
      <c r="E98" s="2">
        <v>1.88</v>
      </c>
      <c r="F98" t="s">
        <v>23</v>
      </c>
      <c r="G98" t="s">
        <v>24</v>
      </c>
      <c r="H98" s="1">
        <v>45661.168749999997</v>
      </c>
      <c r="I98" t="s">
        <v>14</v>
      </c>
      <c r="J98" t="s">
        <v>17</v>
      </c>
      <c r="K98" s="10">
        <f>INT(tblDelivery[[#This Row],[order_time]])</f>
        <v>45661</v>
      </c>
      <c r="L98" s="8">
        <f>HOUR(tblDelivery[[#This Row],[order_time]])</f>
        <v>4</v>
      </c>
      <c r="M98">
        <f>IF(tblDelivery[[#This Row],[delivery_time_min]]&lt;=Time_Target,1,0)</f>
        <v>1</v>
      </c>
      <c r="N98" s="8">
        <f>IF(AND(COUNTBLANK(tblDelivery[[#This Row],[order_id]:[customer_zone]])=0,tblDelivery[[#This Row],[delivery_time_min]]&gt;0,tblDelivery[[#This Row],[distance_km]]&gt;0,tblDelivery[[#This Row],[route_length_km]]&gt;=tblDelivery[[#This Row],[distance_km]]*0.99,COUNTIFS(tblDelivery[order_id],tblDelivery[[#This Row],[order_id]])=1),1,0)</f>
        <v>1</v>
      </c>
      <c r="O98" s="8">
        <f>SUBTOTAL(103,tblDelivery[[#This Row],[order_id]])</f>
        <v>1</v>
      </c>
      <c r="P98" s="8" t="str" cm="1">
        <f t="array" ref="P98">_xlfn.IFS(tblDelivery[[#This Row],[distance_km]]&lt;2,"&lt; 2 km",tblDelivery[[#This Row],[distance_km]]&lt;5,"2 to 5 km",tblDelivery[[#This Row],[distance_km]]&lt;10,"5 to 10 km",TRUE,"10 km and above")</f>
        <v>&lt; 2 km</v>
      </c>
      <c r="Q98" s="8" t="str" cm="1">
        <f t="array" ref="Q98">_xlfn.IFS(tblDelivery[[#This Row],[route_length_km]]&lt;2,"&lt;2 km",tblDelivery[[#This Row],[route_length_km]]&lt;5,"2 to 5 km",tblDelivery[[#This Row],[route_length_km]]&lt;10,"5 to 10 km",TRUE,"10 km and above")</f>
        <v>&lt;2 km</v>
      </c>
      <c r="T98" s="8"/>
    </row>
    <row r="99" spans="1:20" x14ac:dyDescent="0.25">
      <c r="A99" s="6">
        <v>98</v>
      </c>
      <c r="B99" s="2">
        <v>4.41</v>
      </c>
      <c r="C99" s="8">
        <v>24.8</v>
      </c>
      <c r="D99" s="3" t="s">
        <v>22</v>
      </c>
      <c r="E99" s="2">
        <v>4.8</v>
      </c>
      <c r="F99" t="s">
        <v>23</v>
      </c>
      <c r="G99" t="s">
        <v>24</v>
      </c>
      <c r="H99" s="1">
        <v>45659.722222222219</v>
      </c>
      <c r="I99" t="s">
        <v>14</v>
      </c>
      <c r="J99" t="s">
        <v>14</v>
      </c>
      <c r="K99" s="10">
        <f>INT(tblDelivery[[#This Row],[order_time]])</f>
        <v>45659</v>
      </c>
      <c r="L99" s="8">
        <f>HOUR(tblDelivery[[#This Row],[order_time]])</f>
        <v>17</v>
      </c>
      <c r="M99">
        <f>IF(tblDelivery[[#This Row],[delivery_time_min]]&lt;=Time_Target,1,0)</f>
        <v>1</v>
      </c>
      <c r="N99" s="8">
        <f>IF(AND(COUNTBLANK(tblDelivery[[#This Row],[order_id]:[customer_zone]])=0,tblDelivery[[#This Row],[delivery_time_min]]&gt;0,tblDelivery[[#This Row],[distance_km]]&gt;0,tblDelivery[[#This Row],[route_length_km]]&gt;=tblDelivery[[#This Row],[distance_km]]*0.99,COUNTIFS(tblDelivery[order_id],tblDelivery[[#This Row],[order_id]])=1),1,0)</f>
        <v>1</v>
      </c>
      <c r="O99" s="8">
        <f>SUBTOTAL(103,tblDelivery[[#This Row],[order_id]])</f>
        <v>1</v>
      </c>
      <c r="P99" s="8" t="str" cm="1">
        <f t="array" ref="P99">_xlfn.IFS(tblDelivery[[#This Row],[distance_km]]&lt;2,"&lt; 2 km",tblDelivery[[#This Row],[distance_km]]&lt;5,"2 to 5 km",tblDelivery[[#This Row],[distance_km]]&lt;10,"5 to 10 km",TRUE,"10 km and above")</f>
        <v>2 to 5 km</v>
      </c>
      <c r="Q99" s="8" t="str" cm="1">
        <f t="array" ref="Q99">_xlfn.IFS(tblDelivery[[#This Row],[route_length_km]]&lt;2,"&lt;2 km",tblDelivery[[#This Row],[route_length_km]]&lt;5,"2 to 5 km",tblDelivery[[#This Row],[route_length_km]]&lt;10,"5 to 10 km",TRUE,"10 km and above")</f>
        <v>2 to 5 km</v>
      </c>
      <c r="T99" s="8"/>
    </row>
    <row r="100" spans="1:20" x14ac:dyDescent="0.25">
      <c r="A100" s="6">
        <v>99</v>
      </c>
      <c r="B100" s="2">
        <v>4.0199999999999996</v>
      </c>
      <c r="C100" s="8">
        <v>21.7</v>
      </c>
      <c r="D100" s="3" t="s">
        <v>18</v>
      </c>
      <c r="E100" s="2">
        <v>5.17</v>
      </c>
      <c r="F100" t="s">
        <v>11</v>
      </c>
      <c r="G100" t="s">
        <v>12</v>
      </c>
      <c r="H100" s="1">
        <v>45660.185416666667</v>
      </c>
      <c r="I100" t="s">
        <v>13</v>
      </c>
      <c r="J100" t="s">
        <v>13</v>
      </c>
      <c r="K100" s="10">
        <f>INT(tblDelivery[[#This Row],[order_time]])</f>
        <v>45660</v>
      </c>
      <c r="L100" s="8">
        <f>HOUR(tblDelivery[[#This Row],[order_time]])</f>
        <v>4</v>
      </c>
      <c r="M100">
        <f>IF(tblDelivery[[#This Row],[delivery_time_min]]&lt;=Time_Target,1,0)</f>
        <v>1</v>
      </c>
      <c r="N100" s="8">
        <f>IF(AND(COUNTBLANK(tblDelivery[[#This Row],[order_id]:[customer_zone]])=0,tblDelivery[[#This Row],[delivery_time_min]]&gt;0,tblDelivery[[#This Row],[distance_km]]&gt;0,tblDelivery[[#This Row],[route_length_km]]&gt;=tblDelivery[[#This Row],[distance_km]]*0.99,COUNTIFS(tblDelivery[order_id],tblDelivery[[#This Row],[order_id]])=1),1,0)</f>
        <v>1</v>
      </c>
      <c r="O100" s="8">
        <f>SUBTOTAL(103,tblDelivery[[#This Row],[order_id]])</f>
        <v>1</v>
      </c>
      <c r="P100" s="8" t="str" cm="1">
        <f t="array" ref="P100">_xlfn.IFS(tblDelivery[[#This Row],[distance_km]]&lt;2,"&lt; 2 km",tblDelivery[[#This Row],[distance_km]]&lt;5,"2 to 5 km",tblDelivery[[#This Row],[distance_km]]&lt;10,"5 to 10 km",TRUE,"10 km and above")</f>
        <v>2 to 5 km</v>
      </c>
      <c r="Q100" s="8" t="str" cm="1">
        <f t="array" ref="Q100">_xlfn.IFS(tblDelivery[[#This Row],[route_length_km]]&lt;2,"&lt;2 km",tblDelivery[[#This Row],[route_length_km]]&lt;5,"2 to 5 km",tblDelivery[[#This Row],[route_length_km]]&lt;10,"5 to 10 km",TRUE,"10 km and above")</f>
        <v>5 to 10 km</v>
      </c>
      <c r="T100" s="8"/>
    </row>
    <row r="101" spans="1:20" x14ac:dyDescent="0.25">
      <c r="A101" s="6">
        <v>100</v>
      </c>
      <c r="B101" s="2">
        <v>10.039999999999999</v>
      </c>
      <c r="C101" s="8">
        <v>90.7</v>
      </c>
      <c r="D101" s="3" t="s">
        <v>22</v>
      </c>
      <c r="E101" s="2">
        <v>14.91</v>
      </c>
      <c r="F101" t="s">
        <v>23</v>
      </c>
      <c r="G101" t="s">
        <v>24</v>
      </c>
      <c r="H101" s="1">
        <v>45659.499305555553</v>
      </c>
      <c r="I101" t="s">
        <v>14</v>
      </c>
      <c r="J101" t="s">
        <v>25</v>
      </c>
      <c r="K101" s="10">
        <f>INT(tblDelivery[[#This Row],[order_time]])</f>
        <v>45659</v>
      </c>
      <c r="L101" s="8">
        <f>HOUR(tblDelivery[[#This Row],[order_time]])</f>
        <v>11</v>
      </c>
      <c r="M101">
        <f>IF(tblDelivery[[#This Row],[delivery_time_min]]&lt;=Time_Target,1,0)</f>
        <v>0</v>
      </c>
      <c r="N101" s="8">
        <f>IF(AND(COUNTBLANK(tblDelivery[[#This Row],[order_id]:[customer_zone]])=0,tblDelivery[[#This Row],[delivery_time_min]]&gt;0,tblDelivery[[#This Row],[distance_km]]&gt;0,tblDelivery[[#This Row],[route_length_km]]&gt;=tblDelivery[[#This Row],[distance_km]]*0.99,COUNTIFS(tblDelivery[order_id],tblDelivery[[#This Row],[order_id]])=1),1,0)</f>
        <v>1</v>
      </c>
      <c r="O101" s="8">
        <f>SUBTOTAL(103,tblDelivery[[#This Row],[order_id]])</f>
        <v>1</v>
      </c>
      <c r="P101" s="8" t="str" cm="1">
        <f t="array" ref="P101">_xlfn.IFS(tblDelivery[[#This Row],[distance_km]]&lt;2,"&lt; 2 km",tblDelivery[[#This Row],[distance_km]]&lt;5,"2 to 5 km",tblDelivery[[#This Row],[distance_km]]&lt;10,"5 to 10 km",TRUE,"10 km and above")</f>
        <v>10 km and above</v>
      </c>
      <c r="Q101" s="8" t="str" cm="1">
        <f t="array" ref="Q101">_xlfn.IFS(tblDelivery[[#This Row],[route_length_km]]&lt;2,"&lt;2 km",tblDelivery[[#This Row],[route_length_km]]&lt;5,"2 to 5 km",tblDelivery[[#This Row],[route_length_km]]&lt;10,"5 to 10 km",TRUE,"10 km and above")</f>
        <v>10 km and above</v>
      </c>
      <c r="T101" s="8"/>
    </row>
    <row r="102" spans="1:20" x14ac:dyDescent="0.25">
      <c r="A102" s="6">
        <v>101</v>
      </c>
      <c r="B102" s="2">
        <v>8.25</v>
      </c>
      <c r="C102" s="8">
        <v>52</v>
      </c>
      <c r="D102" s="3" t="s">
        <v>18</v>
      </c>
      <c r="E102" s="2">
        <v>9</v>
      </c>
      <c r="F102" t="s">
        <v>23</v>
      </c>
      <c r="G102" t="s">
        <v>24</v>
      </c>
      <c r="H102" s="1">
        <v>45658.973611111112</v>
      </c>
      <c r="I102" t="s">
        <v>21</v>
      </c>
      <c r="J102" t="s">
        <v>13</v>
      </c>
      <c r="K102" s="10">
        <f>INT(tblDelivery[[#This Row],[order_time]])</f>
        <v>45658</v>
      </c>
      <c r="L102" s="8">
        <f>HOUR(tblDelivery[[#This Row],[order_time]])</f>
        <v>23</v>
      </c>
      <c r="M102">
        <f>IF(tblDelivery[[#This Row],[delivery_time_min]]&lt;=Time_Target,1,0)</f>
        <v>0</v>
      </c>
      <c r="N102" s="8">
        <f>IF(AND(COUNTBLANK(tblDelivery[[#This Row],[order_id]:[customer_zone]])=0,tblDelivery[[#This Row],[delivery_time_min]]&gt;0,tblDelivery[[#This Row],[distance_km]]&gt;0,tblDelivery[[#This Row],[route_length_km]]&gt;=tblDelivery[[#This Row],[distance_km]]*0.99,COUNTIFS(tblDelivery[order_id],tblDelivery[[#This Row],[order_id]])=1),1,0)</f>
        <v>1</v>
      </c>
      <c r="O102" s="8">
        <f>SUBTOTAL(103,tblDelivery[[#This Row],[order_id]])</f>
        <v>1</v>
      </c>
      <c r="P102" s="8" t="str" cm="1">
        <f t="array" ref="P102">_xlfn.IFS(tblDelivery[[#This Row],[distance_km]]&lt;2,"&lt; 2 km",tblDelivery[[#This Row],[distance_km]]&lt;5,"2 to 5 km",tblDelivery[[#This Row],[distance_km]]&lt;10,"5 to 10 km",TRUE,"10 km and above")</f>
        <v>5 to 10 km</v>
      </c>
      <c r="Q102" s="8" t="str" cm="1">
        <f t="array" ref="Q102">_xlfn.IFS(tblDelivery[[#This Row],[route_length_km]]&lt;2,"&lt;2 km",tblDelivery[[#This Row],[route_length_km]]&lt;5,"2 to 5 km",tblDelivery[[#This Row],[route_length_km]]&lt;10,"5 to 10 km",TRUE,"10 km and above")</f>
        <v>5 to 10 km</v>
      </c>
      <c r="T102" s="8"/>
    </row>
    <row r="103" spans="1:20" x14ac:dyDescent="0.25">
      <c r="A103" s="6">
        <v>102</v>
      </c>
      <c r="B103" s="2">
        <v>3.22</v>
      </c>
      <c r="C103" s="8">
        <v>19.899999999999999</v>
      </c>
      <c r="D103" s="3" t="s">
        <v>10</v>
      </c>
      <c r="E103" s="2">
        <v>3.28</v>
      </c>
      <c r="F103" t="s">
        <v>11</v>
      </c>
      <c r="G103" t="s">
        <v>20</v>
      </c>
      <c r="H103" s="1">
        <v>45661.62222222222</v>
      </c>
      <c r="I103" t="s">
        <v>17</v>
      </c>
      <c r="J103" t="s">
        <v>25</v>
      </c>
      <c r="K103" s="10">
        <f>INT(tblDelivery[[#This Row],[order_time]])</f>
        <v>45661</v>
      </c>
      <c r="L103" s="8">
        <f>HOUR(tblDelivery[[#This Row],[order_time]])</f>
        <v>14</v>
      </c>
      <c r="M103">
        <f>IF(tblDelivery[[#This Row],[delivery_time_min]]&lt;=Time_Target,1,0)</f>
        <v>1</v>
      </c>
      <c r="N103" s="8">
        <f>IF(AND(COUNTBLANK(tblDelivery[[#This Row],[order_id]:[customer_zone]])=0,tblDelivery[[#This Row],[delivery_time_min]]&gt;0,tblDelivery[[#This Row],[distance_km]]&gt;0,tblDelivery[[#This Row],[route_length_km]]&gt;=tblDelivery[[#This Row],[distance_km]]*0.99,COUNTIFS(tblDelivery[order_id],tblDelivery[[#This Row],[order_id]])=1),1,0)</f>
        <v>1</v>
      </c>
      <c r="O103" s="8">
        <f>SUBTOTAL(103,tblDelivery[[#This Row],[order_id]])</f>
        <v>1</v>
      </c>
      <c r="P103" s="8" t="str" cm="1">
        <f t="array" ref="P103">_xlfn.IFS(tblDelivery[[#This Row],[distance_km]]&lt;2,"&lt; 2 km",tblDelivery[[#This Row],[distance_km]]&lt;5,"2 to 5 km",tblDelivery[[#This Row],[distance_km]]&lt;10,"5 to 10 km",TRUE,"10 km and above")</f>
        <v>2 to 5 km</v>
      </c>
      <c r="Q103" s="8" t="str" cm="1">
        <f t="array" ref="Q103">_xlfn.IFS(tblDelivery[[#This Row],[route_length_km]]&lt;2,"&lt;2 km",tblDelivery[[#This Row],[route_length_km]]&lt;5,"2 to 5 km",tblDelivery[[#This Row],[route_length_km]]&lt;10,"5 to 10 km",TRUE,"10 km and above")</f>
        <v>2 to 5 km</v>
      </c>
      <c r="T103" s="8"/>
    </row>
    <row r="104" spans="1:20" x14ac:dyDescent="0.25">
      <c r="A104" s="6">
        <v>103</v>
      </c>
      <c r="B104" s="2">
        <v>9.17</v>
      </c>
      <c r="C104" s="8">
        <v>60.4</v>
      </c>
      <c r="D104" s="3" t="s">
        <v>22</v>
      </c>
      <c r="E104" s="2">
        <v>10.91</v>
      </c>
      <c r="F104" t="s">
        <v>11</v>
      </c>
      <c r="G104" t="s">
        <v>16</v>
      </c>
      <c r="H104" s="1">
        <v>45661.532638888886</v>
      </c>
      <c r="I104" t="s">
        <v>14</v>
      </c>
      <c r="J104" t="s">
        <v>13</v>
      </c>
      <c r="K104" s="10">
        <f>INT(tblDelivery[[#This Row],[order_time]])</f>
        <v>45661</v>
      </c>
      <c r="L104" s="8">
        <f>HOUR(tblDelivery[[#This Row],[order_time]])</f>
        <v>12</v>
      </c>
      <c r="M104">
        <f>IF(tblDelivery[[#This Row],[delivery_time_min]]&lt;=Time_Target,1,0)</f>
        <v>0</v>
      </c>
      <c r="N104" s="8">
        <f>IF(AND(COUNTBLANK(tblDelivery[[#This Row],[order_id]:[customer_zone]])=0,tblDelivery[[#This Row],[delivery_time_min]]&gt;0,tblDelivery[[#This Row],[distance_km]]&gt;0,tblDelivery[[#This Row],[route_length_km]]&gt;=tblDelivery[[#This Row],[distance_km]]*0.99,COUNTIFS(tblDelivery[order_id],tblDelivery[[#This Row],[order_id]])=1),1,0)</f>
        <v>1</v>
      </c>
      <c r="O104" s="8">
        <f>SUBTOTAL(103,tblDelivery[[#This Row],[order_id]])</f>
        <v>1</v>
      </c>
      <c r="P104" s="8" t="str" cm="1">
        <f t="array" ref="P104">_xlfn.IFS(tblDelivery[[#This Row],[distance_km]]&lt;2,"&lt; 2 km",tblDelivery[[#This Row],[distance_km]]&lt;5,"2 to 5 km",tblDelivery[[#This Row],[distance_km]]&lt;10,"5 to 10 km",TRUE,"10 km and above")</f>
        <v>5 to 10 km</v>
      </c>
      <c r="Q104" s="8" t="str" cm="1">
        <f t="array" ref="Q104">_xlfn.IFS(tblDelivery[[#This Row],[route_length_km]]&lt;2,"&lt;2 km",tblDelivery[[#This Row],[route_length_km]]&lt;5,"2 to 5 km",tblDelivery[[#This Row],[route_length_km]]&lt;10,"5 to 10 km",TRUE,"10 km and above")</f>
        <v>10 km and above</v>
      </c>
      <c r="T104" s="8"/>
    </row>
    <row r="105" spans="1:20" x14ac:dyDescent="0.25">
      <c r="A105" s="6">
        <v>104</v>
      </c>
      <c r="B105" s="2">
        <v>6.86</v>
      </c>
      <c r="C105" s="8">
        <v>53.9</v>
      </c>
      <c r="D105" s="3" t="s">
        <v>22</v>
      </c>
      <c r="E105" s="2">
        <v>8.74</v>
      </c>
      <c r="F105" t="s">
        <v>15</v>
      </c>
      <c r="G105" t="s">
        <v>20</v>
      </c>
      <c r="H105" s="1">
        <v>45658.94027777778</v>
      </c>
      <c r="I105" t="s">
        <v>14</v>
      </c>
      <c r="J105" t="s">
        <v>21</v>
      </c>
      <c r="K105" s="10">
        <f>INT(tblDelivery[[#This Row],[order_time]])</f>
        <v>45658</v>
      </c>
      <c r="L105" s="8">
        <f>HOUR(tblDelivery[[#This Row],[order_time]])</f>
        <v>22</v>
      </c>
      <c r="M105">
        <f>IF(tblDelivery[[#This Row],[delivery_time_min]]&lt;=Time_Target,1,0)</f>
        <v>0</v>
      </c>
      <c r="N105" s="8">
        <f>IF(AND(COUNTBLANK(tblDelivery[[#This Row],[order_id]:[customer_zone]])=0,tblDelivery[[#This Row],[delivery_time_min]]&gt;0,tblDelivery[[#This Row],[distance_km]]&gt;0,tblDelivery[[#This Row],[route_length_km]]&gt;=tblDelivery[[#This Row],[distance_km]]*0.99,COUNTIFS(tblDelivery[order_id],tblDelivery[[#This Row],[order_id]])=1),1,0)</f>
        <v>1</v>
      </c>
      <c r="O105" s="8">
        <f>SUBTOTAL(103,tblDelivery[[#This Row],[order_id]])</f>
        <v>1</v>
      </c>
      <c r="P105" s="8" t="str" cm="1">
        <f t="array" ref="P105">_xlfn.IFS(tblDelivery[[#This Row],[distance_km]]&lt;2,"&lt; 2 km",tblDelivery[[#This Row],[distance_km]]&lt;5,"2 to 5 km",tblDelivery[[#This Row],[distance_km]]&lt;10,"5 to 10 km",TRUE,"10 km and above")</f>
        <v>5 to 10 km</v>
      </c>
      <c r="Q105" s="8" t="str" cm="1">
        <f t="array" ref="Q105">_xlfn.IFS(tblDelivery[[#This Row],[route_length_km]]&lt;2,"&lt;2 km",tblDelivery[[#This Row],[route_length_km]]&lt;5,"2 to 5 km",tblDelivery[[#This Row],[route_length_km]]&lt;10,"5 to 10 km",TRUE,"10 km and above")</f>
        <v>5 to 10 km</v>
      </c>
      <c r="T105" s="8"/>
    </row>
    <row r="106" spans="1:20" x14ac:dyDescent="0.25">
      <c r="A106" s="6">
        <v>105</v>
      </c>
      <c r="B106" s="2">
        <v>2.62</v>
      </c>
      <c r="C106" s="8">
        <v>13</v>
      </c>
      <c r="D106" s="3" t="s">
        <v>18</v>
      </c>
      <c r="E106" s="2">
        <v>3.22</v>
      </c>
      <c r="F106" t="s">
        <v>15</v>
      </c>
      <c r="G106" t="s">
        <v>12</v>
      </c>
      <c r="H106" s="1">
        <v>45661.036805555559</v>
      </c>
      <c r="I106" t="s">
        <v>13</v>
      </c>
      <c r="J106" t="s">
        <v>25</v>
      </c>
      <c r="K106" s="10">
        <f>INT(tblDelivery[[#This Row],[order_time]])</f>
        <v>45661</v>
      </c>
      <c r="L106" s="8">
        <f>HOUR(tblDelivery[[#This Row],[order_time]])</f>
        <v>0</v>
      </c>
      <c r="M106">
        <f>IF(tblDelivery[[#This Row],[delivery_time_min]]&lt;=Time_Target,1,0)</f>
        <v>1</v>
      </c>
      <c r="N106" s="8">
        <f>IF(AND(COUNTBLANK(tblDelivery[[#This Row],[order_id]:[customer_zone]])=0,tblDelivery[[#This Row],[delivery_time_min]]&gt;0,tblDelivery[[#This Row],[distance_km]]&gt;0,tblDelivery[[#This Row],[route_length_km]]&gt;=tblDelivery[[#This Row],[distance_km]]*0.99,COUNTIFS(tblDelivery[order_id],tblDelivery[[#This Row],[order_id]])=1),1,0)</f>
        <v>1</v>
      </c>
      <c r="O106" s="8">
        <f>SUBTOTAL(103,tblDelivery[[#This Row],[order_id]])</f>
        <v>1</v>
      </c>
      <c r="P106" s="8" t="str" cm="1">
        <f t="array" ref="P106">_xlfn.IFS(tblDelivery[[#This Row],[distance_km]]&lt;2,"&lt; 2 km",tblDelivery[[#This Row],[distance_km]]&lt;5,"2 to 5 km",tblDelivery[[#This Row],[distance_km]]&lt;10,"5 to 10 km",TRUE,"10 km and above")</f>
        <v>2 to 5 km</v>
      </c>
      <c r="Q106" s="8" t="str" cm="1">
        <f t="array" ref="Q106">_xlfn.IFS(tblDelivery[[#This Row],[route_length_km]]&lt;2,"&lt;2 km",tblDelivery[[#This Row],[route_length_km]]&lt;5,"2 to 5 km",tblDelivery[[#This Row],[route_length_km]]&lt;10,"5 to 10 km",TRUE,"10 km and above")</f>
        <v>2 to 5 km</v>
      </c>
      <c r="T106" s="8"/>
    </row>
    <row r="107" spans="1:20" x14ac:dyDescent="0.25">
      <c r="A107" s="6">
        <v>106</v>
      </c>
      <c r="B107" s="2">
        <v>10.96</v>
      </c>
      <c r="C107" s="8">
        <v>72.900000000000006</v>
      </c>
      <c r="D107" s="3" t="s">
        <v>22</v>
      </c>
      <c r="E107" s="2">
        <v>16.27</v>
      </c>
      <c r="F107" t="s">
        <v>19</v>
      </c>
      <c r="G107" t="s">
        <v>20</v>
      </c>
      <c r="H107" s="1">
        <v>45659.959027777775</v>
      </c>
      <c r="I107" t="s">
        <v>21</v>
      </c>
      <c r="J107" t="s">
        <v>17</v>
      </c>
      <c r="K107" s="10">
        <f>INT(tblDelivery[[#This Row],[order_time]])</f>
        <v>45659</v>
      </c>
      <c r="L107" s="8">
        <f>HOUR(tblDelivery[[#This Row],[order_time]])</f>
        <v>23</v>
      </c>
      <c r="M107">
        <f>IF(tblDelivery[[#This Row],[delivery_time_min]]&lt;=Time_Target,1,0)</f>
        <v>0</v>
      </c>
      <c r="N107" s="8">
        <f>IF(AND(COUNTBLANK(tblDelivery[[#This Row],[order_id]:[customer_zone]])=0,tblDelivery[[#This Row],[delivery_time_min]]&gt;0,tblDelivery[[#This Row],[distance_km]]&gt;0,tblDelivery[[#This Row],[route_length_km]]&gt;=tblDelivery[[#This Row],[distance_km]]*0.99,COUNTIFS(tblDelivery[order_id],tblDelivery[[#This Row],[order_id]])=1),1,0)</f>
        <v>1</v>
      </c>
      <c r="O107" s="8">
        <f>SUBTOTAL(103,tblDelivery[[#This Row],[order_id]])</f>
        <v>1</v>
      </c>
      <c r="P107" s="8" t="str" cm="1">
        <f t="array" ref="P107">_xlfn.IFS(tblDelivery[[#This Row],[distance_km]]&lt;2,"&lt; 2 km",tblDelivery[[#This Row],[distance_km]]&lt;5,"2 to 5 km",tblDelivery[[#This Row],[distance_km]]&lt;10,"5 to 10 km",TRUE,"10 km and above")</f>
        <v>10 km and above</v>
      </c>
      <c r="Q107" s="8" t="str" cm="1">
        <f t="array" ref="Q107">_xlfn.IFS(tblDelivery[[#This Row],[route_length_km]]&lt;2,"&lt;2 km",tblDelivery[[#This Row],[route_length_km]]&lt;5,"2 to 5 km",tblDelivery[[#This Row],[route_length_km]]&lt;10,"5 to 10 km",TRUE,"10 km and above")</f>
        <v>10 km and above</v>
      </c>
      <c r="T107" s="8"/>
    </row>
    <row r="108" spans="1:20" x14ac:dyDescent="0.25">
      <c r="A108" s="6">
        <v>107</v>
      </c>
      <c r="B108" s="2">
        <v>10.32</v>
      </c>
      <c r="C108" s="8">
        <v>81.099999999999994</v>
      </c>
      <c r="D108" s="3" t="s">
        <v>10</v>
      </c>
      <c r="E108" s="2">
        <v>13.54</v>
      </c>
      <c r="F108" t="s">
        <v>11</v>
      </c>
      <c r="G108" t="s">
        <v>12</v>
      </c>
      <c r="H108" s="1">
        <v>45661.004166666666</v>
      </c>
      <c r="I108" t="s">
        <v>14</v>
      </c>
      <c r="J108" t="s">
        <v>21</v>
      </c>
      <c r="K108" s="10">
        <f>INT(tblDelivery[[#This Row],[order_time]])</f>
        <v>45661</v>
      </c>
      <c r="L108" s="8">
        <f>HOUR(tblDelivery[[#This Row],[order_time]])</f>
        <v>0</v>
      </c>
      <c r="M108">
        <f>IF(tblDelivery[[#This Row],[delivery_time_min]]&lt;=Time_Target,1,0)</f>
        <v>0</v>
      </c>
      <c r="N108" s="8">
        <f>IF(AND(COUNTBLANK(tblDelivery[[#This Row],[order_id]:[customer_zone]])=0,tblDelivery[[#This Row],[delivery_time_min]]&gt;0,tblDelivery[[#This Row],[distance_km]]&gt;0,tblDelivery[[#This Row],[route_length_km]]&gt;=tblDelivery[[#This Row],[distance_km]]*0.99,COUNTIFS(tblDelivery[order_id],tblDelivery[[#This Row],[order_id]])=1),1,0)</f>
        <v>1</v>
      </c>
      <c r="O108" s="8">
        <f>SUBTOTAL(103,tblDelivery[[#This Row],[order_id]])</f>
        <v>1</v>
      </c>
      <c r="P108" s="8" t="str" cm="1">
        <f t="array" ref="P108">_xlfn.IFS(tblDelivery[[#This Row],[distance_km]]&lt;2,"&lt; 2 km",tblDelivery[[#This Row],[distance_km]]&lt;5,"2 to 5 km",tblDelivery[[#This Row],[distance_km]]&lt;10,"5 to 10 km",TRUE,"10 km and above")</f>
        <v>10 km and above</v>
      </c>
      <c r="Q108" s="8" t="str" cm="1">
        <f t="array" ref="Q108">_xlfn.IFS(tblDelivery[[#This Row],[route_length_km]]&lt;2,"&lt;2 km",tblDelivery[[#This Row],[route_length_km]]&lt;5,"2 to 5 km",tblDelivery[[#This Row],[route_length_km]]&lt;10,"5 to 10 km",TRUE,"10 km and above")</f>
        <v>10 km and above</v>
      </c>
      <c r="T108" s="8"/>
    </row>
    <row r="109" spans="1:20" x14ac:dyDescent="0.25">
      <c r="A109" s="6">
        <v>108</v>
      </c>
      <c r="B109" s="2">
        <v>12</v>
      </c>
      <c r="C109" s="8">
        <v>73.599999999999994</v>
      </c>
      <c r="D109" s="3" t="s">
        <v>10</v>
      </c>
      <c r="E109" s="2">
        <v>16.48</v>
      </c>
      <c r="F109" t="s">
        <v>11</v>
      </c>
      <c r="G109" t="s">
        <v>24</v>
      </c>
      <c r="H109" s="1">
        <v>45660.997916666667</v>
      </c>
      <c r="I109" t="s">
        <v>25</v>
      </c>
      <c r="J109" t="s">
        <v>17</v>
      </c>
      <c r="K109" s="10">
        <f>INT(tblDelivery[[#This Row],[order_time]])</f>
        <v>45660</v>
      </c>
      <c r="L109" s="8">
        <f>HOUR(tblDelivery[[#This Row],[order_time]])</f>
        <v>23</v>
      </c>
      <c r="M109">
        <f>IF(tblDelivery[[#This Row],[delivery_time_min]]&lt;=Time_Target,1,0)</f>
        <v>0</v>
      </c>
      <c r="N109" s="8">
        <f>IF(AND(COUNTBLANK(tblDelivery[[#This Row],[order_id]:[customer_zone]])=0,tblDelivery[[#This Row],[delivery_time_min]]&gt;0,tblDelivery[[#This Row],[distance_km]]&gt;0,tblDelivery[[#This Row],[route_length_km]]&gt;=tblDelivery[[#This Row],[distance_km]]*0.99,COUNTIFS(tblDelivery[order_id],tblDelivery[[#This Row],[order_id]])=1),1,0)</f>
        <v>1</v>
      </c>
      <c r="O109" s="8">
        <f>SUBTOTAL(103,tblDelivery[[#This Row],[order_id]])</f>
        <v>1</v>
      </c>
      <c r="P109" s="8" t="str" cm="1">
        <f t="array" ref="P109">_xlfn.IFS(tblDelivery[[#This Row],[distance_km]]&lt;2,"&lt; 2 km",tblDelivery[[#This Row],[distance_km]]&lt;5,"2 to 5 km",tblDelivery[[#This Row],[distance_km]]&lt;10,"5 to 10 km",TRUE,"10 km and above")</f>
        <v>10 km and above</v>
      </c>
      <c r="Q109" s="8" t="str" cm="1">
        <f t="array" ref="Q109">_xlfn.IFS(tblDelivery[[#This Row],[route_length_km]]&lt;2,"&lt;2 km",tblDelivery[[#This Row],[route_length_km]]&lt;5,"2 to 5 km",tblDelivery[[#This Row],[route_length_km]]&lt;10,"5 to 10 km",TRUE,"10 km and above")</f>
        <v>10 km and above</v>
      </c>
      <c r="T109" s="8"/>
    </row>
    <row r="110" spans="1:20" x14ac:dyDescent="0.25">
      <c r="A110" s="6">
        <v>109</v>
      </c>
      <c r="B110" s="2">
        <v>10.16</v>
      </c>
      <c r="C110" s="8">
        <v>57.7</v>
      </c>
      <c r="D110" s="3" t="s">
        <v>10</v>
      </c>
      <c r="E110" s="2">
        <v>14.07</v>
      </c>
      <c r="F110" t="s">
        <v>15</v>
      </c>
      <c r="G110" t="s">
        <v>16</v>
      </c>
      <c r="H110" s="1">
        <v>45659.132638888892</v>
      </c>
      <c r="I110" t="s">
        <v>13</v>
      </c>
      <c r="J110" t="s">
        <v>14</v>
      </c>
      <c r="K110" s="10">
        <f>INT(tblDelivery[[#This Row],[order_time]])</f>
        <v>45659</v>
      </c>
      <c r="L110" s="8">
        <f>HOUR(tblDelivery[[#This Row],[order_time]])</f>
        <v>3</v>
      </c>
      <c r="M110">
        <f>IF(tblDelivery[[#This Row],[delivery_time_min]]&lt;=Time_Target,1,0)</f>
        <v>0</v>
      </c>
      <c r="N110" s="8">
        <f>IF(AND(COUNTBLANK(tblDelivery[[#This Row],[order_id]:[customer_zone]])=0,tblDelivery[[#This Row],[delivery_time_min]]&gt;0,tblDelivery[[#This Row],[distance_km]]&gt;0,tblDelivery[[#This Row],[route_length_km]]&gt;=tblDelivery[[#This Row],[distance_km]]*0.99,COUNTIFS(tblDelivery[order_id],tblDelivery[[#This Row],[order_id]])=1),1,0)</f>
        <v>1</v>
      </c>
      <c r="O110" s="8">
        <f>SUBTOTAL(103,tblDelivery[[#This Row],[order_id]])</f>
        <v>1</v>
      </c>
      <c r="P110" s="8" t="str" cm="1">
        <f t="array" ref="P110">_xlfn.IFS(tblDelivery[[#This Row],[distance_km]]&lt;2,"&lt; 2 km",tblDelivery[[#This Row],[distance_km]]&lt;5,"2 to 5 km",tblDelivery[[#This Row],[distance_km]]&lt;10,"5 to 10 km",TRUE,"10 km and above")</f>
        <v>10 km and above</v>
      </c>
      <c r="Q110" s="8" t="str" cm="1">
        <f t="array" ref="Q110">_xlfn.IFS(tblDelivery[[#This Row],[route_length_km]]&lt;2,"&lt;2 km",tblDelivery[[#This Row],[route_length_km]]&lt;5,"2 to 5 km",tblDelivery[[#This Row],[route_length_km]]&lt;10,"5 to 10 km",TRUE,"10 km and above")</f>
        <v>10 km and above</v>
      </c>
      <c r="T110" s="8"/>
    </row>
    <row r="111" spans="1:20" x14ac:dyDescent="0.25">
      <c r="A111" s="6">
        <v>110</v>
      </c>
      <c r="B111" s="2">
        <v>7.29</v>
      </c>
      <c r="C111" s="8">
        <v>57.9</v>
      </c>
      <c r="D111" s="3" t="s">
        <v>10</v>
      </c>
      <c r="E111" s="2">
        <v>10.86</v>
      </c>
      <c r="F111" t="s">
        <v>15</v>
      </c>
      <c r="G111" t="s">
        <v>20</v>
      </c>
      <c r="H111" s="1">
        <v>45658.482638888891</v>
      </c>
      <c r="I111" t="s">
        <v>21</v>
      </c>
      <c r="J111" t="s">
        <v>14</v>
      </c>
      <c r="K111" s="10">
        <f>INT(tblDelivery[[#This Row],[order_time]])</f>
        <v>45658</v>
      </c>
      <c r="L111" s="8">
        <f>HOUR(tblDelivery[[#This Row],[order_time]])</f>
        <v>11</v>
      </c>
      <c r="M111">
        <f>IF(tblDelivery[[#This Row],[delivery_time_min]]&lt;=Time_Target,1,0)</f>
        <v>0</v>
      </c>
      <c r="N111" s="8">
        <f>IF(AND(COUNTBLANK(tblDelivery[[#This Row],[order_id]:[customer_zone]])=0,tblDelivery[[#This Row],[delivery_time_min]]&gt;0,tblDelivery[[#This Row],[distance_km]]&gt;0,tblDelivery[[#This Row],[route_length_km]]&gt;=tblDelivery[[#This Row],[distance_km]]*0.99,COUNTIFS(tblDelivery[order_id],tblDelivery[[#This Row],[order_id]])=1),1,0)</f>
        <v>1</v>
      </c>
      <c r="O111" s="8">
        <f>SUBTOTAL(103,tblDelivery[[#This Row],[order_id]])</f>
        <v>1</v>
      </c>
      <c r="P111" s="8" t="str" cm="1">
        <f t="array" ref="P111">_xlfn.IFS(tblDelivery[[#This Row],[distance_km]]&lt;2,"&lt; 2 km",tblDelivery[[#This Row],[distance_km]]&lt;5,"2 to 5 km",tblDelivery[[#This Row],[distance_km]]&lt;10,"5 to 10 km",TRUE,"10 km and above")</f>
        <v>5 to 10 km</v>
      </c>
      <c r="Q111" s="8" t="str" cm="1">
        <f t="array" ref="Q111">_xlfn.IFS(tblDelivery[[#This Row],[route_length_km]]&lt;2,"&lt;2 km",tblDelivery[[#This Row],[route_length_km]]&lt;5,"2 to 5 km",tblDelivery[[#This Row],[route_length_km]]&lt;10,"5 to 10 km",TRUE,"10 km and above")</f>
        <v>10 km and above</v>
      </c>
      <c r="T111" s="8"/>
    </row>
    <row r="112" spans="1:20" x14ac:dyDescent="0.25">
      <c r="A112" s="6">
        <v>111</v>
      </c>
      <c r="B112" s="2">
        <v>7.97</v>
      </c>
      <c r="C112" s="8">
        <v>51</v>
      </c>
      <c r="D112" s="3" t="s">
        <v>22</v>
      </c>
      <c r="E112" s="2">
        <v>10.73</v>
      </c>
      <c r="F112" t="s">
        <v>11</v>
      </c>
      <c r="G112" t="s">
        <v>20</v>
      </c>
      <c r="H112" s="1">
        <v>45660.526388888888</v>
      </c>
      <c r="I112" t="s">
        <v>25</v>
      </c>
      <c r="J112" t="s">
        <v>21</v>
      </c>
      <c r="K112" s="10">
        <f>INT(tblDelivery[[#This Row],[order_time]])</f>
        <v>45660</v>
      </c>
      <c r="L112" s="8">
        <f>HOUR(tblDelivery[[#This Row],[order_time]])</f>
        <v>12</v>
      </c>
      <c r="M112">
        <f>IF(tblDelivery[[#This Row],[delivery_time_min]]&lt;=Time_Target,1,0)</f>
        <v>0</v>
      </c>
      <c r="N112" s="8">
        <f>IF(AND(COUNTBLANK(tblDelivery[[#This Row],[order_id]:[customer_zone]])=0,tblDelivery[[#This Row],[delivery_time_min]]&gt;0,tblDelivery[[#This Row],[distance_km]]&gt;0,tblDelivery[[#This Row],[route_length_km]]&gt;=tblDelivery[[#This Row],[distance_km]]*0.99,COUNTIFS(tblDelivery[order_id],tblDelivery[[#This Row],[order_id]])=1),1,0)</f>
        <v>1</v>
      </c>
      <c r="O112" s="8">
        <f>SUBTOTAL(103,tblDelivery[[#This Row],[order_id]])</f>
        <v>1</v>
      </c>
      <c r="P112" s="8" t="str" cm="1">
        <f t="array" ref="P112">_xlfn.IFS(tblDelivery[[#This Row],[distance_km]]&lt;2,"&lt; 2 km",tblDelivery[[#This Row],[distance_km]]&lt;5,"2 to 5 km",tblDelivery[[#This Row],[distance_km]]&lt;10,"5 to 10 km",TRUE,"10 km and above")</f>
        <v>5 to 10 km</v>
      </c>
      <c r="Q112" s="8" t="str" cm="1">
        <f t="array" ref="Q112">_xlfn.IFS(tblDelivery[[#This Row],[route_length_km]]&lt;2,"&lt;2 km",tblDelivery[[#This Row],[route_length_km]]&lt;5,"2 to 5 km",tblDelivery[[#This Row],[route_length_km]]&lt;10,"5 to 10 km",TRUE,"10 km and above")</f>
        <v>10 km and above</v>
      </c>
      <c r="T112" s="8"/>
    </row>
    <row r="113" spans="1:20" x14ac:dyDescent="0.25">
      <c r="A113" s="6">
        <v>112</v>
      </c>
      <c r="B113" s="2">
        <v>10.53</v>
      </c>
      <c r="C113" s="8">
        <v>83.6</v>
      </c>
      <c r="D113" s="3" t="s">
        <v>18</v>
      </c>
      <c r="E113" s="2">
        <v>15.46</v>
      </c>
      <c r="F113" t="s">
        <v>23</v>
      </c>
      <c r="G113" t="s">
        <v>12</v>
      </c>
      <c r="H113" s="1">
        <v>45658.365972222222</v>
      </c>
      <c r="I113" t="s">
        <v>21</v>
      </c>
      <c r="J113" t="s">
        <v>25</v>
      </c>
      <c r="K113" s="10">
        <f>INT(tblDelivery[[#This Row],[order_time]])</f>
        <v>45658</v>
      </c>
      <c r="L113" s="8">
        <f>HOUR(tblDelivery[[#This Row],[order_time]])</f>
        <v>8</v>
      </c>
      <c r="M113">
        <f>IF(tblDelivery[[#This Row],[delivery_time_min]]&lt;=Time_Target,1,0)</f>
        <v>0</v>
      </c>
      <c r="N113" s="8">
        <f>IF(AND(COUNTBLANK(tblDelivery[[#This Row],[order_id]:[customer_zone]])=0,tblDelivery[[#This Row],[delivery_time_min]]&gt;0,tblDelivery[[#This Row],[distance_km]]&gt;0,tblDelivery[[#This Row],[route_length_km]]&gt;=tblDelivery[[#This Row],[distance_km]]*0.99,COUNTIFS(tblDelivery[order_id],tblDelivery[[#This Row],[order_id]])=1),1,0)</f>
        <v>1</v>
      </c>
      <c r="O113" s="8">
        <f>SUBTOTAL(103,tblDelivery[[#This Row],[order_id]])</f>
        <v>1</v>
      </c>
      <c r="P113" s="8" t="str" cm="1">
        <f t="array" ref="P113">_xlfn.IFS(tblDelivery[[#This Row],[distance_km]]&lt;2,"&lt; 2 km",tblDelivery[[#This Row],[distance_km]]&lt;5,"2 to 5 km",tblDelivery[[#This Row],[distance_km]]&lt;10,"5 to 10 km",TRUE,"10 km and above")</f>
        <v>10 km and above</v>
      </c>
      <c r="Q113" s="8" t="str" cm="1">
        <f t="array" ref="Q113">_xlfn.IFS(tblDelivery[[#This Row],[route_length_km]]&lt;2,"&lt;2 km",tblDelivery[[#This Row],[route_length_km]]&lt;5,"2 to 5 km",tblDelivery[[#This Row],[route_length_km]]&lt;10,"5 to 10 km",TRUE,"10 km and above")</f>
        <v>10 km and above</v>
      </c>
      <c r="T113" s="8"/>
    </row>
    <row r="114" spans="1:20" x14ac:dyDescent="0.25">
      <c r="A114" s="6">
        <v>113</v>
      </c>
      <c r="B114" s="2">
        <v>1.51</v>
      </c>
      <c r="C114" s="8">
        <v>7.9</v>
      </c>
      <c r="D114" s="3" t="s">
        <v>10</v>
      </c>
      <c r="E114" s="2">
        <v>1.6</v>
      </c>
      <c r="F114" t="s">
        <v>15</v>
      </c>
      <c r="G114" t="s">
        <v>24</v>
      </c>
      <c r="H114" s="1">
        <v>45659.65625</v>
      </c>
      <c r="I114" t="s">
        <v>25</v>
      </c>
      <c r="J114" t="s">
        <v>25</v>
      </c>
      <c r="K114" s="10">
        <f>INT(tblDelivery[[#This Row],[order_time]])</f>
        <v>45659</v>
      </c>
      <c r="L114" s="8">
        <f>HOUR(tblDelivery[[#This Row],[order_time]])</f>
        <v>15</v>
      </c>
      <c r="M114">
        <f>IF(tblDelivery[[#This Row],[delivery_time_min]]&lt;=Time_Target,1,0)</f>
        <v>1</v>
      </c>
      <c r="N114" s="8">
        <f>IF(AND(COUNTBLANK(tblDelivery[[#This Row],[order_id]:[customer_zone]])=0,tblDelivery[[#This Row],[delivery_time_min]]&gt;0,tblDelivery[[#This Row],[distance_km]]&gt;0,tblDelivery[[#This Row],[route_length_km]]&gt;=tblDelivery[[#This Row],[distance_km]]*0.99,COUNTIFS(tblDelivery[order_id],tblDelivery[[#This Row],[order_id]])=1),1,0)</f>
        <v>1</v>
      </c>
      <c r="O114" s="8">
        <f>SUBTOTAL(103,tblDelivery[[#This Row],[order_id]])</f>
        <v>1</v>
      </c>
      <c r="P114" s="8" t="str" cm="1">
        <f t="array" ref="P114">_xlfn.IFS(tblDelivery[[#This Row],[distance_km]]&lt;2,"&lt; 2 km",tblDelivery[[#This Row],[distance_km]]&lt;5,"2 to 5 km",tblDelivery[[#This Row],[distance_km]]&lt;10,"5 to 10 km",TRUE,"10 km and above")</f>
        <v>&lt; 2 km</v>
      </c>
      <c r="Q114" s="8" t="str" cm="1">
        <f t="array" ref="Q114">_xlfn.IFS(tblDelivery[[#This Row],[route_length_km]]&lt;2,"&lt;2 km",tblDelivery[[#This Row],[route_length_km]]&lt;5,"2 to 5 km",tblDelivery[[#This Row],[route_length_km]]&lt;10,"5 to 10 km",TRUE,"10 km and above")</f>
        <v>&lt;2 km</v>
      </c>
      <c r="T114" s="8"/>
    </row>
    <row r="115" spans="1:20" x14ac:dyDescent="0.25">
      <c r="A115" s="6">
        <v>114</v>
      </c>
      <c r="B115" s="2">
        <v>10.56</v>
      </c>
      <c r="C115" s="8">
        <v>68</v>
      </c>
      <c r="D115" s="3" t="s">
        <v>18</v>
      </c>
      <c r="E115" s="2">
        <v>11.2</v>
      </c>
      <c r="F115" t="s">
        <v>11</v>
      </c>
      <c r="G115" t="s">
        <v>20</v>
      </c>
      <c r="H115" s="1">
        <v>45660.963888888888</v>
      </c>
      <c r="I115" t="s">
        <v>13</v>
      </c>
      <c r="J115" t="s">
        <v>21</v>
      </c>
      <c r="K115" s="10">
        <f>INT(tblDelivery[[#This Row],[order_time]])</f>
        <v>45660</v>
      </c>
      <c r="L115" s="8">
        <f>HOUR(tblDelivery[[#This Row],[order_time]])</f>
        <v>23</v>
      </c>
      <c r="M115">
        <f>IF(tblDelivery[[#This Row],[delivery_time_min]]&lt;=Time_Target,1,0)</f>
        <v>0</v>
      </c>
      <c r="N115" s="8">
        <f>IF(AND(COUNTBLANK(tblDelivery[[#This Row],[order_id]:[customer_zone]])=0,tblDelivery[[#This Row],[delivery_time_min]]&gt;0,tblDelivery[[#This Row],[distance_km]]&gt;0,tblDelivery[[#This Row],[route_length_km]]&gt;=tblDelivery[[#This Row],[distance_km]]*0.99,COUNTIFS(tblDelivery[order_id],tblDelivery[[#This Row],[order_id]])=1),1,0)</f>
        <v>1</v>
      </c>
      <c r="O115" s="8">
        <f>SUBTOTAL(103,tblDelivery[[#This Row],[order_id]])</f>
        <v>1</v>
      </c>
      <c r="P115" s="8" t="str" cm="1">
        <f t="array" ref="P115">_xlfn.IFS(tblDelivery[[#This Row],[distance_km]]&lt;2,"&lt; 2 km",tblDelivery[[#This Row],[distance_km]]&lt;5,"2 to 5 km",tblDelivery[[#This Row],[distance_km]]&lt;10,"5 to 10 km",TRUE,"10 km and above")</f>
        <v>10 km and above</v>
      </c>
      <c r="Q115" s="8" t="str" cm="1">
        <f t="array" ref="Q115">_xlfn.IFS(tblDelivery[[#This Row],[route_length_km]]&lt;2,"&lt;2 km",tblDelivery[[#This Row],[route_length_km]]&lt;5,"2 to 5 km",tblDelivery[[#This Row],[route_length_km]]&lt;10,"5 to 10 km",TRUE,"10 km and above")</f>
        <v>10 km and above</v>
      </c>
      <c r="T115" s="8"/>
    </row>
    <row r="116" spans="1:20" x14ac:dyDescent="0.25">
      <c r="A116" s="6">
        <v>115</v>
      </c>
      <c r="B116" s="2">
        <v>5.35</v>
      </c>
      <c r="C116" s="8">
        <v>27.2</v>
      </c>
      <c r="D116" s="3" t="s">
        <v>22</v>
      </c>
      <c r="E116" s="2">
        <v>6.7</v>
      </c>
      <c r="F116" t="s">
        <v>23</v>
      </c>
      <c r="G116" t="s">
        <v>24</v>
      </c>
      <c r="H116" s="1">
        <v>45661.048611111109</v>
      </c>
      <c r="I116" t="s">
        <v>25</v>
      </c>
      <c r="J116" t="s">
        <v>17</v>
      </c>
      <c r="K116" s="10">
        <f>INT(tblDelivery[[#This Row],[order_time]])</f>
        <v>45661</v>
      </c>
      <c r="L116" s="8">
        <f>HOUR(tblDelivery[[#This Row],[order_time]])</f>
        <v>1</v>
      </c>
      <c r="M116">
        <f>IF(tblDelivery[[#This Row],[delivery_time_min]]&lt;=Time_Target,1,0)</f>
        <v>1</v>
      </c>
      <c r="N116" s="8">
        <f>IF(AND(COUNTBLANK(tblDelivery[[#This Row],[order_id]:[customer_zone]])=0,tblDelivery[[#This Row],[delivery_time_min]]&gt;0,tblDelivery[[#This Row],[distance_km]]&gt;0,tblDelivery[[#This Row],[route_length_km]]&gt;=tblDelivery[[#This Row],[distance_km]]*0.99,COUNTIFS(tblDelivery[order_id],tblDelivery[[#This Row],[order_id]])=1),1,0)</f>
        <v>1</v>
      </c>
      <c r="O116" s="8">
        <f>SUBTOTAL(103,tblDelivery[[#This Row],[order_id]])</f>
        <v>1</v>
      </c>
      <c r="P116" s="8" t="str" cm="1">
        <f t="array" ref="P116">_xlfn.IFS(tblDelivery[[#This Row],[distance_km]]&lt;2,"&lt; 2 km",tblDelivery[[#This Row],[distance_km]]&lt;5,"2 to 5 km",tblDelivery[[#This Row],[distance_km]]&lt;10,"5 to 10 km",TRUE,"10 km and above")</f>
        <v>5 to 10 km</v>
      </c>
      <c r="Q116" s="8" t="str" cm="1">
        <f t="array" ref="Q116">_xlfn.IFS(tblDelivery[[#This Row],[route_length_km]]&lt;2,"&lt;2 km",tblDelivery[[#This Row],[route_length_km]]&lt;5,"2 to 5 km",tblDelivery[[#This Row],[route_length_km]]&lt;10,"5 to 10 km",TRUE,"10 km and above")</f>
        <v>5 to 10 km</v>
      </c>
      <c r="T116" s="8"/>
    </row>
    <row r="117" spans="1:20" x14ac:dyDescent="0.25">
      <c r="A117" s="6">
        <v>116</v>
      </c>
      <c r="B117" s="2">
        <v>9.0500000000000007</v>
      </c>
      <c r="C117" s="8">
        <v>61.3</v>
      </c>
      <c r="D117" s="3" t="s">
        <v>18</v>
      </c>
      <c r="E117" s="2">
        <v>9.61</v>
      </c>
      <c r="F117" t="s">
        <v>23</v>
      </c>
      <c r="G117" t="s">
        <v>24</v>
      </c>
      <c r="H117" s="1">
        <v>45659.018750000003</v>
      </c>
      <c r="I117" t="s">
        <v>25</v>
      </c>
      <c r="J117" t="s">
        <v>17</v>
      </c>
      <c r="K117" s="10">
        <f>INT(tblDelivery[[#This Row],[order_time]])</f>
        <v>45659</v>
      </c>
      <c r="L117" s="8">
        <f>HOUR(tblDelivery[[#This Row],[order_time]])</f>
        <v>0</v>
      </c>
      <c r="M117">
        <f>IF(tblDelivery[[#This Row],[delivery_time_min]]&lt;=Time_Target,1,0)</f>
        <v>0</v>
      </c>
      <c r="N117" s="8">
        <f>IF(AND(COUNTBLANK(tblDelivery[[#This Row],[order_id]:[customer_zone]])=0,tblDelivery[[#This Row],[delivery_time_min]]&gt;0,tblDelivery[[#This Row],[distance_km]]&gt;0,tblDelivery[[#This Row],[route_length_km]]&gt;=tblDelivery[[#This Row],[distance_km]]*0.99,COUNTIFS(tblDelivery[order_id],tblDelivery[[#This Row],[order_id]])=1),1,0)</f>
        <v>1</v>
      </c>
      <c r="O117" s="8">
        <f>SUBTOTAL(103,tblDelivery[[#This Row],[order_id]])</f>
        <v>1</v>
      </c>
      <c r="P117" s="8" t="str" cm="1">
        <f t="array" ref="P117">_xlfn.IFS(tblDelivery[[#This Row],[distance_km]]&lt;2,"&lt; 2 km",tblDelivery[[#This Row],[distance_km]]&lt;5,"2 to 5 km",tblDelivery[[#This Row],[distance_km]]&lt;10,"5 to 10 km",TRUE,"10 km and above")</f>
        <v>5 to 10 km</v>
      </c>
      <c r="Q117" s="8" t="str" cm="1">
        <f t="array" ref="Q117">_xlfn.IFS(tblDelivery[[#This Row],[route_length_km]]&lt;2,"&lt;2 km",tblDelivery[[#This Row],[route_length_km]]&lt;5,"2 to 5 km",tblDelivery[[#This Row],[route_length_km]]&lt;10,"5 to 10 km",TRUE,"10 km and above")</f>
        <v>5 to 10 km</v>
      </c>
      <c r="T117" s="8"/>
    </row>
    <row r="118" spans="1:20" x14ac:dyDescent="0.25">
      <c r="A118" s="6">
        <v>117</v>
      </c>
      <c r="B118" s="2">
        <v>3.47</v>
      </c>
      <c r="C118" s="8">
        <v>23.9</v>
      </c>
      <c r="D118" s="3" t="s">
        <v>10</v>
      </c>
      <c r="E118" s="2">
        <v>3.87</v>
      </c>
      <c r="F118" t="s">
        <v>19</v>
      </c>
      <c r="G118" t="s">
        <v>24</v>
      </c>
      <c r="H118" s="1">
        <v>45659.609722222223</v>
      </c>
      <c r="I118" t="s">
        <v>13</v>
      </c>
      <c r="J118" t="s">
        <v>17</v>
      </c>
      <c r="K118" s="10">
        <f>INT(tblDelivery[[#This Row],[order_time]])</f>
        <v>45659</v>
      </c>
      <c r="L118" s="8">
        <f>HOUR(tblDelivery[[#This Row],[order_time]])</f>
        <v>14</v>
      </c>
      <c r="M118">
        <f>IF(tblDelivery[[#This Row],[delivery_time_min]]&lt;=Time_Target,1,0)</f>
        <v>1</v>
      </c>
      <c r="N118" s="8">
        <f>IF(AND(COUNTBLANK(tblDelivery[[#This Row],[order_id]:[customer_zone]])=0,tblDelivery[[#This Row],[delivery_time_min]]&gt;0,tblDelivery[[#This Row],[distance_km]]&gt;0,tblDelivery[[#This Row],[route_length_km]]&gt;=tblDelivery[[#This Row],[distance_km]]*0.99,COUNTIFS(tblDelivery[order_id],tblDelivery[[#This Row],[order_id]])=1),1,0)</f>
        <v>1</v>
      </c>
      <c r="O118" s="8">
        <f>SUBTOTAL(103,tblDelivery[[#This Row],[order_id]])</f>
        <v>1</v>
      </c>
      <c r="P118" s="8" t="str" cm="1">
        <f t="array" ref="P118">_xlfn.IFS(tblDelivery[[#This Row],[distance_km]]&lt;2,"&lt; 2 km",tblDelivery[[#This Row],[distance_km]]&lt;5,"2 to 5 km",tblDelivery[[#This Row],[distance_km]]&lt;10,"5 to 10 km",TRUE,"10 km and above")</f>
        <v>2 to 5 km</v>
      </c>
      <c r="Q118" s="8" t="str" cm="1">
        <f t="array" ref="Q118">_xlfn.IFS(tblDelivery[[#This Row],[route_length_km]]&lt;2,"&lt;2 km",tblDelivery[[#This Row],[route_length_km]]&lt;5,"2 to 5 km",tblDelivery[[#This Row],[route_length_km]]&lt;10,"5 to 10 km",TRUE,"10 km and above")</f>
        <v>2 to 5 km</v>
      </c>
      <c r="T118" s="8"/>
    </row>
    <row r="119" spans="1:20" x14ac:dyDescent="0.25">
      <c r="A119" s="6">
        <v>118</v>
      </c>
      <c r="B119" s="2">
        <v>6.2</v>
      </c>
      <c r="C119" s="8">
        <v>56</v>
      </c>
      <c r="D119" s="3" t="s">
        <v>18</v>
      </c>
      <c r="E119" s="2">
        <v>8.7899999999999991</v>
      </c>
      <c r="F119" t="s">
        <v>23</v>
      </c>
      <c r="G119" t="s">
        <v>16</v>
      </c>
      <c r="H119" s="1">
        <v>45659.143055555556</v>
      </c>
      <c r="I119" t="s">
        <v>25</v>
      </c>
      <c r="J119" t="s">
        <v>14</v>
      </c>
      <c r="K119" s="10">
        <f>INT(tblDelivery[[#This Row],[order_time]])</f>
        <v>45659</v>
      </c>
      <c r="L119" s="8">
        <f>HOUR(tblDelivery[[#This Row],[order_time]])</f>
        <v>3</v>
      </c>
      <c r="M119">
        <f>IF(tblDelivery[[#This Row],[delivery_time_min]]&lt;=Time_Target,1,0)</f>
        <v>0</v>
      </c>
      <c r="N119" s="8">
        <f>IF(AND(COUNTBLANK(tblDelivery[[#This Row],[order_id]:[customer_zone]])=0,tblDelivery[[#This Row],[delivery_time_min]]&gt;0,tblDelivery[[#This Row],[distance_km]]&gt;0,tblDelivery[[#This Row],[route_length_km]]&gt;=tblDelivery[[#This Row],[distance_km]]*0.99,COUNTIFS(tblDelivery[order_id],tblDelivery[[#This Row],[order_id]])=1),1,0)</f>
        <v>1</v>
      </c>
      <c r="O119" s="8">
        <f>SUBTOTAL(103,tblDelivery[[#This Row],[order_id]])</f>
        <v>1</v>
      </c>
      <c r="P119" s="8" t="str" cm="1">
        <f t="array" ref="P119">_xlfn.IFS(tblDelivery[[#This Row],[distance_km]]&lt;2,"&lt; 2 km",tblDelivery[[#This Row],[distance_km]]&lt;5,"2 to 5 km",tblDelivery[[#This Row],[distance_km]]&lt;10,"5 to 10 km",TRUE,"10 km and above")</f>
        <v>5 to 10 km</v>
      </c>
      <c r="Q119" s="8" t="str" cm="1">
        <f t="array" ref="Q119">_xlfn.IFS(tblDelivery[[#This Row],[route_length_km]]&lt;2,"&lt;2 km",tblDelivery[[#This Row],[route_length_km]]&lt;5,"2 to 5 km",tblDelivery[[#This Row],[route_length_km]]&lt;10,"5 to 10 km",TRUE,"10 km and above")</f>
        <v>5 to 10 km</v>
      </c>
      <c r="T119" s="8"/>
    </row>
    <row r="120" spans="1:20" x14ac:dyDescent="0.25">
      <c r="A120" s="6">
        <v>119</v>
      </c>
      <c r="B120" s="2">
        <v>9.57</v>
      </c>
      <c r="C120" s="8">
        <v>55.7</v>
      </c>
      <c r="D120" s="3" t="s">
        <v>22</v>
      </c>
      <c r="E120" s="2">
        <v>11.89</v>
      </c>
      <c r="F120" t="s">
        <v>23</v>
      </c>
      <c r="G120" t="s">
        <v>12</v>
      </c>
      <c r="H120" s="1">
        <v>45660.063194444447</v>
      </c>
      <c r="I120" t="s">
        <v>14</v>
      </c>
      <c r="J120" t="s">
        <v>21</v>
      </c>
      <c r="K120" s="10">
        <f>INT(tblDelivery[[#This Row],[order_time]])</f>
        <v>45660</v>
      </c>
      <c r="L120" s="8">
        <f>HOUR(tblDelivery[[#This Row],[order_time]])</f>
        <v>1</v>
      </c>
      <c r="M120">
        <f>IF(tblDelivery[[#This Row],[delivery_time_min]]&lt;=Time_Target,1,0)</f>
        <v>0</v>
      </c>
      <c r="N120" s="8">
        <f>IF(AND(COUNTBLANK(tblDelivery[[#This Row],[order_id]:[customer_zone]])=0,tblDelivery[[#This Row],[delivery_time_min]]&gt;0,tblDelivery[[#This Row],[distance_km]]&gt;0,tblDelivery[[#This Row],[route_length_km]]&gt;=tblDelivery[[#This Row],[distance_km]]*0.99,COUNTIFS(tblDelivery[order_id],tblDelivery[[#This Row],[order_id]])=1),1,0)</f>
        <v>1</v>
      </c>
      <c r="O120" s="8">
        <f>SUBTOTAL(103,tblDelivery[[#This Row],[order_id]])</f>
        <v>1</v>
      </c>
      <c r="P120" s="8" t="str" cm="1">
        <f t="array" ref="P120">_xlfn.IFS(tblDelivery[[#This Row],[distance_km]]&lt;2,"&lt; 2 km",tblDelivery[[#This Row],[distance_km]]&lt;5,"2 to 5 km",tblDelivery[[#This Row],[distance_km]]&lt;10,"5 to 10 km",TRUE,"10 km and above")</f>
        <v>5 to 10 km</v>
      </c>
      <c r="Q120" s="8" t="str" cm="1">
        <f t="array" ref="Q120">_xlfn.IFS(tblDelivery[[#This Row],[route_length_km]]&lt;2,"&lt;2 km",tblDelivery[[#This Row],[route_length_km]]&lt;5,"2 to 5 km",tblDelivery[[#This Row],[route_length_km]]&lt;10,"5 to 10 km",TRUE,"10 km and above")</f>
        <v>10 km and above</v>
      </c>
      <c r="T120" s="8"/>
    </row>
    <row r="121" spans="1:20" x14ac:dyDescent="0.25">
      <c r="A121" s="6">
        <v>120</v>
      </c>
      <c r="B121" s="2">
        <v>3.78</v>
      </c>
      <c r="C121" s="8">
        <v>27.8</v>
      </c>
      <c r="D121" s="3" t="s">
        <v>18</v>
      </c>
      <c r="E121" s="2">
        <v>4.42</v>
      </c>
      <c r="F121" t="s">
        <v>15</v>
      </c>
      <c r="G121" t="s">
        <v>24</v>
      </c>
      <c r="H121" s="1">
        <v>45659.704861111109</v>
      </c>
      <c r="I121" t="s">
        <v>13</v>
      </c>
      <c r="J121" t="s">
        <v>25</v>
      </c>
      <c r="K121" s="10">
        <f>INT(tblDelivery[[#This Row],[order_time]])</f>
        <v>45659</v>
      </c>
      <c r="L121" s="8">
        <f>HOUR(tblDelivery[[#This Row],[order_time]])</f>
        <v>16</v>
      </c>
      <c r="M121">
        <f>IF(tblDelivery[[#This Row],[delivery_time_min]]&lt;=Time_Target,1,0)</f>
        <v>1</v>
      </c>
      <c r="N121" s="8">
        <f>IF(AND(COUNTBLANK(tblDelivery[[#This Row],[order_id]:[customer_zone]])=0,tblDelivery[[#This Row],[delivery_time_min]]&gt;0,tblDelivery[[#This Row],[distance_km]]&gt;0,tblDelivery[[#This Row],[route_length_km]]&gt;=tblDelivery[[#This Row],[distance_km]]*0.99,COUNTIFS(tblDelivery[order_id],tblDelivery[[#This Row],[order_id]])=1),1,0)</f>
        <v>1</v>
      </c>
      <c r="O121" s="8">
        <f>SUBTOTAL(103,tblDelivery[[#This Row],[order_id]])</f>
        <v>1</v>
      </c>
      <c r="P121" s="8" t="str" cm="1">
        <f t="array" ref="P121">_xlfn.IFS(tblDelivery[[#This Row],[distance_km]]&lt;2,"&lt; 2 km",tblDelivery[[#This Row],[distance_km]]&lt;5,"2 to 5 km",tblDelivery[[#This Row],[distance_km]]&lt;10,"5 to 10 km",TRUE,"10 km and above")</f>
        <v>2 to 5 km</v>
      </c>
      <c r="Q121" s="8" t="str" cm="1">
        <f t="array" ref="Q121">_xlfn.IFS(tblDelivery[[#This Row],[route_length_km]]&lt;2,"&lt;2 km",tblDelivery[[#This Row],[route_length_km]]&lt;5,"2 to 5 km",tblDelivery[[#This Row],[route_length_km]]&lt;10,"5 to 10 km",TRUE,"10 km and above")</f>
        <v>2 to 5 km</v>
      </c>
      <c r="T121" s="8"/>
    </row>
    <row r="122" spans="1:20" x14ac:dyDescent="0.25">
      <c r="A122" s="6">
        <v>121</v>
      </c>
      <c r="B122" s="2">
        <v>6.32</v>
      </c>
      <c r="C122" s="8">
        <v>32.1</v>
      </c>
      <c r="D122" s="3" t="s">
        <v>18</v>
      </c>
      <c r="E122" s="2">
        <v>6.78</v>
      </c>
      <c r="F122" t="s">
        <v>11</v>
      </c>
      <c r="G122" t="s">
        <v>20</v>
      </c>
      <c r="H122" s="1">
        <v>45660.520833333336</v>
      </c>
      <c r="I122" t="s">
        <v>25</v>
      </c>
      <c r="J122" t="s">
        <v>14</v>
      </c>
      <c r="K122" s="10">
        <f>INT(tblDelivery[[#This Row],[order_time]])</f>
        <v>45660</v>
      </c>
      <c r="L122" s="8">
        <f>HOUR(tblDelivery[[#This Row],[order_time]])</f>
        <v>12</v>
      </c>
      <c r="M122">
        <f>IF(tblDelivery[[#This Row],[delivery_time_min]]&lt;=Time_Target,1,0)</f>
        <v>1</v>
      </c>
      <c r="N122" s="8">
        <f>IF(AND(COUNTBLANK(tblDelivery[[#This Row],[order_id]:[customer_zone]])=0,tblDelivery[[#This Row],[delivery_time_min]]&gt;0,tblDelivery[[#This Row],[distance_km]]&gt;0,tblDelivery[[#This Row],[route_length_km]]&gt;=tblDelivery[[#This Row],[distance_km]]*0.99,COUNTIFS(tblDelivery[order_id],tblDelivery[[#This Row],[order_id]])=1),1,0)</f>
        <v>1</v>
      </c>
      <c r="O122" s="8">
        <f>SUBTOTAL(103,tblDelivery[[#This Row],[order_id]])</f>
        <v>1</v>
      </c>
      <c r="P122" s="8" t="str" cm="1">
        <f t="array" ref="P122">_xlfn.IFS(tblDelivery[[#This Row],[distance_km]]&lt;2,"&lt; 2 km",tblDelivery[[#This Row],[distance_km]]&lt;5,"2 to 5 km",tblDelivery[[#This Row],[distance_km]]&lt;10,"5 to 10 km",TRUE,"10 km and above")</f>
        <v>5 to 10 km</v>
      </c>
      <c r="Q122" s="8" t="str" cm="1">
        <f t="array" ref="Q122">_xlfn.IFS(tblDelivery[[#This Row],[route_length_km]]&lt;2,"&lt;2 km",tblDelivery[[#This Row],[route_length_km]]&lt;5,"2 to 5 km",tblDelivery[[#This Row],[route_length_km]]&lt;10,"5 to 10 km",TRUE,"10 km and above")</f>
        <v>5 to 10 km</v>
      </c>
      <c r="T122" s="8"/>
    </row>
    <row r="123" spans="1:20" x14ac:dyDescent="0.25">
      <c r="A123" s="6">
        <v>122</v>
      </c>
      <c r="B123" s="2">
        <v>10.72</v>
      </c>
      <c r="C123" s="8">
        <v>50.3</v>
      </c>
      <c r="D123" s="3" t="s">
        <v>22</v>
      </c>
      <c r="E123" s="2">
        <v>11.96</v>
      </c>
      <c r="F123" t="s">
        <v>19</v>
      </c>
      <c r="G123" t="s">
        <v>12</v>
      </c>
      <c r="H123" s="1">
        <v>45660.538888888892</v>
      </c>
      <c r="I123" t="s">
        <v>13</v>
      </c>
      <c r="J123" t="s">
        <v>25</v>
      </c>
      <c r="K123" s="10">
        <f>INT(tblDelivery[[#This Row],[order_time]])</f>
        <v>45660</v>
      </c>
      <c r="L123" s="8">
        <f>HOUR(tblDelivery[[#This Row],[order_time]])</f>
        <v>12</v>
      </c>
      <c r="M123">
        <f>IF(tblDelivery[[#This Row],[delivery_time_min]]&lt;=Time_Target,1,0)</f>
        <v>0</v>
      </c>
      <c r="N123" s="8">
        <f>IF(AND(COUNTBLANK(tblDelivery[[#This Row],[order_id]:[customer_zone]])=0,tblDelivery[[#This Row],[delivery_time_min]]&gt;0,tblDelivery[[#This Row],[distance_km]]&gt;0,tblDelivery[[#This Row],[route_length_km]]&gt;=tblDelivery[[#This Row],[distance_km]]*0.99,COUNTIFS(tblDelivery[order_id],tblDelivery[[#This Row],[order_id]])=1),1,0)</f>
        <v>1</v>
      </c>
      <c r="O123" s="8">
        <f>SUBTOTAL(103,tblDelivery[[#This Row],[order_id]])</f>
        <v>1</v>
      </c>
      <c r="P123" s="8" t="str" cm="1">
        <f t="array" ref="P123">_xlfn.IFS(tblDelivery[[#This Row],[distance_km]]&lt;2,"&lt; 2 km",tblDelivery[[#This Row],[distance_km]]&lt;5,"2 to 5 km",tblDelivery[[#This Row],[distance_km]]&lt;10,"5 to 10 km",TRUE,"10 km and above")</f>
        <v>10 km and above</v>
      </c>
      <c r="Q123" s="8" t="str" cm="1">
        <f t="array" ref="Q123">_xlfn.IFS(tblDelivery[[#This Row],[route_length_km]]&lt;2,"&lt;2 km",tblDelivery[[#This Row],[route_length_km]]&lt;5,"2 to 5 km",tblDelivery[[#This Row],[route_length_km]]&lt;10,"5 to 10 km",TRUE,"10 km and above")</f>
        <v>10 km and above</v>
      </c>
      <c r="T123" s="8"/>
    </row>
    <row r="124" spans="1:20" x14ac:dyDescent="0.25">
      <c r="A124" s="6">
        <v>123</v>
      </c>
      <c r="B124" s="2">
        <v>10.55</v>
      </c>
      <c r="C124" s="8">
        <v>85.7</v>
      </c>
      <c r="D124" s="3" t="s">
        <v>10</v>
      </c>
      <c r="E124" s="2">
        <v>13.49</v>
      </c>
      <c r="F124" t="s">
        <v>23</v>
      </c>
      <c r="G124" t="s">
        <v>20</v>
      </c>
      <c r="H124" s="1">
        <v>45661.467361111114</v>
      </c>
      <c r="I124" t="s">
        <v>17</v>
      </c>
      <c r="J124" t="s">
        <v>14</v>
      </c>
      <c r="K124" s="10">
        <f>INT(tblDelivery[[#This Row],[order_time]])</f>
        <v>45661</v>
      </c>
      <c r="L124" s="8">
        <f>HOUR(tblDelivery[[#This Row],[order_time]])</f>
        <v>11</v>
      </c>
      <c r="M124">
        <f>IF(tblDelivery[[#This Row],[delivery_time_min]]&lt;=Time_Target,1,0)</f>
        <v>0</v>
      </c>
      <c r="N124" s="8">
        <f>IF(AND(COUNTBLANK(tblDelivery[[#This Row],[order_id]:[customer_zone]])=0,tblDelivery[[#This Row],[delivery_time_min]]&gt;0,tblDelivery[[#This Row],[distance_km]]&gt;0,tblDelivery[[#This Row],[route_length_km]]&gt;=tblDelivery[[#This Row],[distance_km]]*0.99,COUNTIFS(tblDelivery[order_id],tblDelivery[[#This Row],[order_id]])=1),1,0)</f>
        <v>1</v>
      </c>
      <c r="O124" s="8">
        <f>SUBTOTAL(103,tblDelivery[[#This Row],[order_id]])</f>
        <v>1</v>
      </c>
      <c r="P124" s="8" t="str" cm="1">
        <f t="array" ref="P124">_xlfn.IFS(tblDelivery[[#This Row],[distance_km]]&lt;2,"&lt; 2 km",tblDelivery[[#This Row],[distance_km]]&lt;5,"2 to 5 km",tblDelivery[[#This Row],[distance_km]]&lt;10,"5 to 10 km",TRUE,"10 km and above")</f>
        <v>10 km and above</v>
      </c>
      <c r="Q124" s="8" t="str" cm="1">
        <f t="array" ref="Q124">_xlfn.IFS(tblDelivery[[#This Row],[route_length_km]]&lt;2,"&lt;2 km",tblDelivery[[#This Row],[route_length_km]]&lt;5,"2 to 5 km",tblDelivery[[#This Row],[route_length_km]]&lt;10,"5 to 10 km",TRUE,"10 km and above")</f>
        <v>10 km and above</v>
      </c>
      <c r="T124" s="8"/>
    </row>
    <row r="125" spans="1:20" x14ac:dyDescent="0.25">
      <c r="A125" s="6">
        <v>124</v>
      </c>
      <c r="B125" s="2">
        <v>9.67</v>
      </c>
      <c r="C125" s="8">
        <v>65.8</v>
      </c>
      <c r="D125" s="3" t="s">
        <v>10</v>
      </c>
      <c r="E125" s="2">
        <v>9.9499999999999993</v>
      </c>
      <c r="F125" t="s">
        <v>23</v>
      </c>
      <c r="G125" t="s">
        <v>20</v>
      </c>
      <c r="H125" s="1">
        <v>45661.75</v>
      </c>
      <c r="I125" t="s">
        <v>13</v>
      </c>
      <c r="J125" t="s">
        <v>25</v>
      </c>
      <c r="K125" s="10">
        <f>INT(tblDelivery[[#This Row],[order_time]])</f>
        <v>45661</v>
      </c>
      <c r="L125" s="8">
        <f>HOUR(tblDelivery[[#This Row],[order_time]])</f>
        <v>18</v>
      </c>
      <c r="M125">
        <f>IF(tblDelivery[[#This Row],[delivery_time_min]]&lt;=Time_Target,1,0)</f>
        <v>0</v>
      </c>
      <c r="N125" s="8">
        <f>IF(AND(COUNTBLANK(tblDelivery[[#This Row],[order_id]:[customer_zone]])=0,tblDelivery[[#This Row],[delivery_time_min]]&gt;0,tblDelivery[[#This Row],[distance_km]]&gt;0,tblDelivery[[#This Row],[route_length_km]]&gt;=tblDelivery[[#This Row],[distance_km]]*0.99,COUNTIFS(tblDelivery[order_id],tblDelivery[[#This Row],[order_id]])=1),1,0)</f>
        <v>1</v>
      </c>
      <c r="O125" s="8">
        <f>SUBTOTAL(103,tblDelivery[[#This Row],[order_id]])</f>
        <v>1</v>
      </c>
      <c r="P125" s="8" t="str" cm="1">
        <f t="array" ref="P125">_xlfn.IFS(tblDelivery[[#This Row],[distance_km]]&lt;2,"&lt; 2 km",tblDelivery[[#This Row],[distance_km]]&lt;5,"2 to 5 km",tblDelivery[[#This Row],[distance_km]]&lt;10,"5 to 10 km",TRUE,"10 km and above")</f>
        <v>5 to 10 km</v>
      </c>
      <c r="Q125" s="8" t="str" cm="1">
        <f t="array" ref="Q125">_xlfn.IFS(tblDelivery[[#This Row],[route_length_km]]&lt;2,"&lt;2 km",tblDelivery[[#This Row],[route_length_km]]&lt;5,"2 to 5 km",tblDelivery[[#This Row],[route_length_km]]&lt;10,"5 to 10 km",TRUE,"10 km and above")</f>
        <v>5 to 10 km</v>
      </c>
      <c r="T125" s="8"/>
    </row>
    <row r="126" spans="1:20" x14ac:dyDescent="0.25">
      <c r="A126" s="6">
        <v>125</v>
      </c>
      <c r="B126" s="2">
        <v>4.09</v>
      </c>
      <c r="C126" s="8">
        <v>33.5</v>
      </c>
      <c r="D126" s="3" t="s">
        <v>18</v>
      </c>
      <c r="E126" s="2">
        <v>5.52</v>
      </c>
      <c r="F126" t="s">
        <v>11</v>
      </c>
      <c r="G126" t="s">
        <v>16</v>
      </c>
      <c r="H126" s="1">
        <v>45660.043055555558</v>
      </c>
      <c r="I126" t="s">
        <v>14</v>
      </c>
      <c r="J126" t="s">
        <v>21</v>
      </c>
      <c r="K126" s="10">
        <f>INT(tblDelivery[[#This Row],[order_time]])</f>
        <v>45660</v>
      </c>
      <c r="L126" s="8">
        <f>HOUR(tblDelivery[[#This Row],[order_time]])</f>
        <v>1</v>
      </c>
      <c r="M126">
        <f>IF(tblDelivery[[#This Row],[delivery_time_min]]&lt;=Time_Target,1,0)</f>
        <v>1</v>
      </c>
      <c r="N126" s="8">
        <f>IF(AND(COUNTBLANK(tblDelivery[[#This Row],[order_id]:[customer_zone]])=0,tblDelivery[[#This Row],[delivery_time_min]]&gt;0,tblDelivery[[#This Row],[distance_km]]&gt;0,tblDelivery[[#This Row],[route_length_km]]&gt;=tblDelivery[[#This Row],[distance_km]]*0.99,COUNTIFS(tblDelivery[order_id],tblDelivery[[#This Row],[order_id]])=1),1,0)</f>
        <v>1</v>
      </c>
      <c r="O126" s="8">
        <f>SUBTOTAL(103,tblDelivery[[#This Row],[order_id]])</f>
        <v>1</v>
      </c>
      <c r="P126" s="8" t="str" cm="1">
        <f t="array" ref="P126">_xlfn.IFS(tblDelivery[[#This Row],[distance_km]]&lt;2,"&lt; 2 km",tblDelivery[[#This Row],[distance_km]]&lt;5,"2 to 5 km",tblDelivery[[#This Row],[distance_km]]&lt;10,"5 to 10 km",TRUE,"10 km and above")</f>
        <v>2 to 5 km</v>
      </c>
      <c r="Q126" s="8" t="str" cm="1">
        <f t="array" ref="Q126">_xlfn.IFS(tblDelivery[[#This Row],[route_length_km]]&lt;2,"&lt;2 km",tblDelivery[[#This Row],[route_length_km]]&lt;5,"2 to 5 km",tblDelivery[[#This Row],[route_length_km]]&lt;10,"5 to 10 km",TRUE,"10 km and above")</f>
        <v>5 to 10 km</v>
      </c>
      <c r="T126" s="8"/>
    </row>
    <row r="127" spans="1:20" x14ac:dyDescent="0.25">
      <c r="A127" s="6">
        <v>126</v>
      </c>
      <c r="B127" s="2">
        <v>8.4</v>
      </c>
      <c r="C127" s="8">
        <v>67.2</v>
      </c>
      <c r="D127" s="3" t="s">
        <v>22</v>
      </c>
      <c r="E127" s="2">
        <v>10.79</v>
      </c>
      <c r="F127" t="s">
        <v>15</v>
      </c>
      <c r="G127" t="s">
        <v>16</v>
      </c>
      <c r="H127" s="1">
        <v>45661.356249999997</v>
      </c>
      <c r="I127" t="s">
        <v>14</v>
      </c>
      <c r="J127" t="s">
        <v>25</v>
      </c>
      <c r="K127" s="10">
        <f>INT(tblDelivery[[#This Row],[order_time]])</f>
        <v>45661</v>
      </c>
      <c r="L127" s="8">
        <f>HOUR(tblDelivery[[#This Row],[order_time]])</f>
        <v>8</v>
      </c>
      <c r="M127">
        <f>IF(tblDelivery[[#This Row],[delivery_time_min]]&lt;=Time_Target,1,0)</f>
        <v>0</v>
      </c>
      <c r="N127" s="8">
        <f>IF(AND(COUNTBLANK(tblDelivery[[#This Row],[order_id]:[customer_zone]])=0,tblDelivery[[#This Row],[delivery_time_min]]&gt;0,tblDelivery[[#This Row],[distance_km]]&gt;0,tblDelivery[[#This Row],[route_length_km]]&gt;=tblDelivery[[#This Row],[distance_km]]*0.99,COUNTIFS(tblDelivery[order_id],tblDelivery[[#This Row],[order_id]])=1),1,0)</f>
        <v>1</v>
      </c>
      <c r="O127" s="8">
        <f>SUBTOTAL(103,tblDelivery[[#This Row],[order_id]])</f>
        <v>1</v>
      </c>
      <c r="P127" s="8" t="str" cm="1">
        <f t="array" ref="P127">_xlfn.IFS(tblDelivery[[#This Row],[distance_km]]&lt;2,"&lt; 2 km",tblDelivery[[#This Row],[distance_km]]&lt;5,"2 to 5 km",tblDelivery[[#This Row],[distance_km]]&lt;10,"5 to 10 km",TRUE,"10 km and above")</f>
        <v>5 to 10 km</v>
      </c>
      <c r="Q127" s="8" t="str" cm="1">
        <f t="array" ref="Q127">_xlfn.IFS(tblDelivery[[#This Row],[route_length_km]]&lt;2,"&lt;2 km",tblDelivery[[#This Row],[route_length_km]]&lt;5,"2 to 5 km",tblDelivery[[#This Row],[route_length_km]]&lt;10,"5 to 10 km",TRUE,"10 km and above")</f>
        <v>10 km and above</v>
      </c>
      <c r="T127" s="8"/>
    </row>
    <row r="128" spans="1:20" x14ac:dyDescent="0.25">
      <c r="A128" s="6">
        <v>127</v>
      </c>
      <c r="B128" s="2">
        <v>10.07</v>
      </c>
      <c r="C128" s="8">
        <v>51.4</v>
      </c>
      <c r="D128" s="3" t="s">
        <v>10</v>
      </c>
      <c r="E128" s="2">
        <v>11.03</v>
      </c>
      <c r="F128" t="s">
        <v>11</v>
      </c>
      <c r="G128" t="s">
        <v>24</v>
      </c>
      <c r="H128" s="1">
        <v>45660.59097222222</v>
      </c>
      <c r="I128" t="s">
        <v>13</v>
      </c>
      <c r="J128" t="s">
        <v>17</v>
      </c>
      <c r="K128" s="10">
        <f>INT(tblDelivery[[#This Row],[order_time]])</f>
        <v>45660</v>
      </c>
      <c r="L128" s="8">
        <f>HOUR(tblDelivery[[#This Row],[order_time]])</f>
        <v>14</v>
      </c>
      <c r="M128">
        <f>IF(tblDelivery[[#This Row],[delivery_time_min]]&lt;=Time_Target,1,0)</f>
        <v>0</v>
      </c>
      <c r="N128" s="8">
        <f>IF(AND(COUNTBLANK(tblDelivery[[#This Row],[order_id]:[customer_zone]])=0,tblDelivery[[#This Row],[delivery_time_min]]&gt;0,tblDelivery[[#This Row],[distance_km]]&gt;0,tblDelivery[[#This Row],[route_length_km]]&gt;=tblDelivery[[#This Row],[distance_km]]*0.99,COUNTIFS(tblDelivery[order_id],tblDelivery[[#This Row],[order_id]])=1),1,0)</f>
        <v>1</v>
      </c>
      <c r="O128" s="8">
        <f>SUBTOTAL(103,tblDelivery[[#This Row],[order_id]])</f>
        <v>1</v>
      </c>
      <c r="P128" s="8" t="str" cm="1">
        <f t="array" ref="P128">_xlfn.IFS(tblDelivery[[#This Row],[distance_km]]&lt;2,"&lt; 2 km",tblDelivery[[#This Row],[distance_km]]&lt;5,"2 to 5 km",tblDelivery[[#This Row],[distance_km]]&lt;10,"5 to 10 km",TRUE,"10 km and above")</f>
        <v>10 km and above</v>
      </c>
      <c r="Q128" s="8" t="str" cm="1">
        <f t="array" ref="Q128">_xlfn.IFS(tblDelivery[[#This Row],[route_length_km]]&lt;2,"&lt;2 km",tblDelivery[[#This Row],[route_length_km]]&lt;5,"2 to 5 km",tblDelivery[[#This Row],[route_length_km]]&lt;10,"5 to 10 km",TRUE,"10 km and above")</f>
        <v>10 km and above</v>
      </c>
      <c r="T128" s="8"/>
    </row>
    <row r="129" spans="1:20" x14ac:dyDescent="0.25">
      <c r="A129" s="6">
        <v>128</v>
      </c>
      <c r="B129" s="2">
        <v>1.47</v>
      </c>
      <c r="C129" s="8">
        <v>11.3</v>
      </c>
      <c r="D129" s="3" t="s">
        <v>18</v>
      </c>
      <c r="E129" s="2">
        <v>1.86</v>
      </c>
      <c r="F129" t="s">
        <v>15</v>
      </c>
      <c r="G129" t="s">
        <v>12</v>
      </c>
      <c r="H129" s="1">
        <v>45661.734027777777</v>
      </c>
      <c r="I129" t="s">
        <v>13</v>
      </c>
      <c r="J129" t="s">
        <v>17</v>
      </c>
      <c r="K129" s="10">
        <f>INT(tblDelivery[[#This Row],[order_time]])</f>
        <v>45661</v>
      </c>
      <c r="L129" s="8">
        <f>HOUR(tblDelivery[[#This Row],[order_time]])</f>
        <v>17</v>
      </c>
      <c r="M129">
        <f>IF(tblDelivery[[#This Row],[delivery_time_min]]&lt;=Time_Target,1,0)</f>
        <v>1</v>
      </c>
      <c r="N129" s="8">
        <f>IF(AND(COUNTBLANK(tblDelivery[[#This Row],[order_id]:[customer_zone]])=0,tblDelivery[[#This Row],[delivery_time_min]]&gt;0,tblDelivery[[#This Row],[distance_km]]&gt;0,tblDelivery[[#This Row],[route_length_km]]&gt;=tblDelivery[[#This Row],[distance_km]]*0.99,COUNTIFS(tblDelivery[order_id],tblDelivery[[#This Row],[order_id]])=1),1,0)</f>
        <v>1</v>
      </c>
      <c r="O129" s="8">
        <f>SUBTOTAL(103,tblDelivery[[#This Row],[order_id]])</f>
        <v>1</v>
      </c>
      <c r="P129" s="8" t="str" cm="1">
        <f t="array" ref="P129">_xlfn.IFS(tblDelivery[[#This Row],[distance_km]]&lt;2,"&lt; 2 km",tblDelivery[[#This Row],[distance_km]]&lt;5,"2 to 5 km",tblDelivery[[#This Row],[distance_km]]&lt;10,"5 to 10 km",TRUE,"10 km and above")</f>
        <v>&lt; 2 km</v>
      </c>
      <c r="Q129" s="8" t="str" cm="1">
        <f t="array" ref="Q129">_xlfn.IFS(tblDelivery[[#This Row],[route_length_km]]&lt;2,"&lt;2 km",tblDelivery[[#This Row],[route_length_km]]&lt;5,"2 to 5 km",tblDelivery[[#This Row],[route_length_km]]&lt;10,"5 to 10 km",TRUE,"10 km and above")</f>
        <v>&lt;2 km</v>
      </c>
      <c r="T129" s="8"/>
    </row>
    <row r="130" spans="1:20" x14ac:dyDescent="0.25">
      <c r="A130" s="6">
        <v>129</v>
      </c>
      <c r="B130" s="2">
        <v>11.72</v>
      </c>
      <c r="C130" s="8">
        <v>70.599999999999994</v>
      </c>
      <c r="D130" s="3" t="s">
        <v>22</v>
      </c>
      <c r="E130" s="2">
        <v>11.77</v>
      </c>
      <c r="F130" t="s">
        <v>23</v>
      </c>
      <c r="G130" t="s">
        <v>12</v>
      </c>
      <c r="H130" s="1">
        <v>45659.427083333336</v>
      </c>
      <c r="I130" t="s">
        <v>14</v>
      </c>
      <c r="J130" t="s">
        <v>14</v>
      </c>
      <c r="K130" s="10">
        <f>INT(tblDelivery[[#This Row],[order_time]])</f>
        <v>45659</v>
      </c>
      <c r="L130" s="8">
        <f>HOUR(tblDelivery[[#This Row],[order_time]])</f>
        <v>10</v>
      </c>
      <c r="M130">
        <f>IF(tblDelivery[[#This Row],[delivery_time_min]]&lt;=Time_Target,1,0)</f>
        <v>0</v>
      </c>
      <c r="N130" s="8">
        <f>IF(AND(COUNTBLANK(tblDelivery[[#This Row],[order_id]:[customer_zone]])=0,tblDelivery[[#This Row],[delivery_time_min]]&gt;0,tblDelivery[[#This Row],[distance_km]]&gt;0,tblDelivery[[#This Row],[route_length_km]]&gt;=tblDelivery[[#This Row],[distance_km]]*0.99,COUNTIFS(tblDelivery[order_id],tblDelivery[[#This Row],[order_id]])=1),1,0)</f>
        <v>1</v>
      </c>
      <c r="O130" s="8">
        <f>SUBTOTAL(103,tblDelivery[[#This Row],[order_id]])</f>
        <v>1</v>
      </c>
      <c r="P130" s="8" t="str" cm="1">
        <f t="array" ref="P130">_xlfn.IFS(tblDelivery[[#This Row],[distance_km]]&lt;2,"&lt; 2 km",tblDelivery[[#This Row],[distance_km]]&lt;5,"2 to 5 km",tblDelivery[[#This Row],[distance_km]]&lt;10,"5 to 10 km",TRUE,"10 km and above")</f>
        <v>10 km and above</v>
      </c>
      <c r="Q130" s="8" t="str" cm="1">
        <f t="array" ref="Q130">_xlfn.IFS(tblDelivery[[#This Row],[route_length_km]]&lt;2,"&lt;2 km",tblDelivery[[#This Row],[route_length_km]]&lt;5,"2 to 5 km",tblDelivery[[#This Row],[route_length_km]]&lt;10,"5 to 10 km",TRUE,"10 km and above")</f>
        <v>10 km and above</v>
      </c>
      <c r="T130" s="8"/>
    </row>
    <row r="131" spans="1:20" x14ac:dyDescent="0.25">
      <c r="A131" s="6">
        <v>130</v>
      </c>
      <c r="B131" s="2">
        <v>3.89</v>
      </c>
      <c r="C131" s="8">
        <v>28.7</v>
      </c>
      <c r="D131" s="3" t="s">
        <v>18</v>
      </c>
      <c r="E131" s="2">
        <v>5.76</v>
      </c>
      <c r="F131" t="s">
        <v>19</v>
      </c>
      <c r="G131" t="s">
        <v>24</v>
      </c>
      <c r="H131" s="1">
        <v>45660.675694444442</v>
      </c>
      <c r="I131" t="s">
        <v>21</v>
      </c>
      <c r="J131" t="s">
        <v>14</v>
      </c>
      <c r="K131" s="10">
        <f>INT(tblDelivery[[#This Row],[order_time]])</f>
        <v>45660</v>
      </c>
      <c r="L131" s="8">
        <f>HOUR(tblDelivery[[#This Row],[order_time]])</f>
        <v>16</v>
      </c>
      <c r="M131">
        <f>IF(tblDelivery[[#This Row],[delivery_time_min]]&lt;=Time_Target,1,0)</f>
        <v>1</v>
      </c>
      <c r="N131" s="8">
        <f>IF(AND(COUNTBLANK(tblDelivery[[#This Row],[order_id]:[customer_zone]])=0,tblDelivery[[#This Row],[delivery_time_min]]&gt;0,tblDelivery[[#This Row],[distance_km]]&gt;0,tblDelivery[[#This Row],[route_length_km]]&gt;=tblDelivery[[#This Row],[distance_km]]*0.99,COUNTIFS(tblDelivery[order_id],tblDelivery[[#This Row],[order_id]])=1),1,0)</f>
        <v>1</v>
      </c>
      <c r="O131" s="8">
        <f>SUBTOTAL(103,tblDelivery[[#This Row],[order_id]])</f>
        <v>1</v>
      </c>
      <c r="P131" s="8" t="str" cm="1">
        <f t="array" ref="P131">_xlfn.IFS(tblDelivery[[#This Row],[distance_km]]&lt;2,"&lt; 2 km",tblDelivery[[#This Row],[distance_km]]&lt;5,"2 to 5 km",tblDelivery[[#This Row],[distance_km]]&lt;10,"5 to 10 km",TRUE,"10 km and above")</f>
        <v>2 to 5 km</v>
      </c>
      <c r="Q131" s="8" t="str" cm="1">
        <f t="array" ref="Q131">_xlfn.IFS(tblDelivery[[#This Row],[route_length_km]]&lt;2,"&lt;2 km",tblDelivery[[#This Row],[route_length_km]]&lt;5,"2 to 5 km",tblDelivery[[#This Row],[route_length_km]]&lt;10,"5 to 10 km",TRUE,"10 km and above")</f>
        <v>5 to 10 km</v>
      </c>
      <c r="T131" s="8"/>
    </row>
    <row r="132" spans="1:20" x14ac:dyDescent="0.25">
      <c r="A132" s="6">
        <v>131</v>
      </c>
      <c r="B132" s="2">
        <v>11.68</v>
      </c>
      <c r="C132" s="8">
        <v>69.2</v>
      </c>
      <c r="D132" s="3" t="s">
        <v>10</v>
      </c>
      <c r="E132" s="2">
        <v>12.36</v>
      </c>
      <c r="F132" t="s">
        <v>23</v>
      </c>
      <c r="G132" t="s">
        <v>12</v>
      </c>
      <c r="H132" s="1">
        <v>45659.879861111112</v>
      </c>
      <c r="I132" t="s">
        <v>13</v>
      </c>
      <c r="J132" t="s">
        <v>14</v>
      </c>
      <c r="K132" s="10">
        <f>INT(tblDelivery[[#This Row],[order_time]])</f>
        <v>45659</v>
      </c>
      <c r="L132" s="8">
        <f>HOUR(tblDelivery[[#This Row],[order_time]])</f>
        <v>21</v>
      </c>
      <c r="M132">
        <f>IF(tblDelivery[[#This Row],[delivery_time_min]]&lt;=Time_Target,1,0)</f>
        <v>0</v>
      </c>
      <c r="N132" s="8">
        <f>IF(AND(COUNTBLANK(tblDelivery[[#This Row],[order_id]:[customer_zone]])=0,tblDelivery[[#This Row],[delivery_time_min]]&gt;0,tblDelivery[[#This Row],[distance_km]]&gt;0,tblDelivery[[#This Row],[route_length_km]]&gt;=tblDelivery[[#This Row],[distance_km]]*0.99,COUNTIFS(tblDelivery[order_id],tblDelivery[[#This Row],[order_id]])=1),1,0)</f>
        <v>1</v>
      </c>
      <c r="O132" s="8">
        <f>SUBTOTAL(103,tblDelivery[[#This Row],[order_id]])</f>
        <v>1</v>
      </c>
      <c r="P132" s="8" t="str" cm="1">
        <f t="array" ref="P132">_xlfn.IFS(tblDelivery[[#This Row],[distance_km]]&lt;2,"&lt; 2 km",tblDelivery[[#This Row],[distance_km]]&lt;5,"2 to 5 km",tblDelivery[[#This Row],[distance_km]]&lt;10,"5 to 10 km",TRUE,"10 km and above")</f>
        <v>10 km and above</v>
      </c>
      <c r="Q132" s="8" t="str" cm="1">
        <f t="array" ref="Q132">_xlfn.IFS(tblDelivery[[#This Row],[route_length_km]]&lt;2,"&lt;2 km",tblDelivery[[#This Row],[route_length_km]]&lt;5,"2 to 5 km",tblDelivery[[#This Row],[route_length_km]]&lt;10,"5 to 10 km",TRUE,"10 km and above")</f>
        <v>10 km and above</v>
      </c>
      <c r="T132" s="8"/>
    </row>
    <row r="133" spans="1:20" x14ac:dyDescent="0.25">
      <c r="A133" s="6">
        <v>132</v>
      </c>
      <c r="B133" s="2">
        <v>9.77</v>
      </c>
      <c r="C133" s="8">
        <v>67.5</v>
      </c>
      <c r="D133" s="3" t="s">
        <v>10</v>
      </c>
      <c r="E133" s="2">
        <v>10.58</v>
      </c>
      <c r="F133" t="s">
        <v>11</v>
      </c>
      <c r="G133" t="s">
        <v>16</v>
      </c>
      <c r="H133" s="1">
        <v>45661.668055555558</v>
      </c>
      <c r="I133" t="s">
        <v>14</v>
      </c>
      <c r="J133" t="s">
        <v>25</v>
      </c>
      <c r="K133" s="10">
        <f>INT(tblDelivery[[#This Row],[order_time]])</f>
        <v>45661</v>
      </c>
      <c r="L133" s="8">
        <f>HOUR(tblDelivery[[#This Row],[order_time]])</f>
        <v>16</v>
      </c>
      <c r="M133">
        <f>IF(tblDelivery[[#This Row],[delivery_time_min]]&lt;=Time_Target,1,0)</f>
        <v>0</v>
      </c>
      <c r="N133" s="8">
        <f>IF(AND(COUNTBLANK(tblDelivery[[#This Row],[order_id]:[customer_zone]])=0,tblDelivery[[#This Row],[delivery_time_min]]&gt;0,tblDelivery[[#This Row],[distance_km]]&gt;0,tblDelivery[[#This Row],[route_length_km]]&gt;=tblDelivery[[#This Row],[distance_km]]*0.99,COUNTIFS(tblDelivery[order_id],tblDelivery[[#This Row],[order_id]])=1),1,0)</f>
        <v>1</v>
      </c>
      <c r="O133" s="8">
        <f>SUBTOTAL(103,tblDelivery[[#This Row],[order_id]])</f>
        <v>1</v>
      </c>
      <c r="P133" s="8" t="str" cm="1">
        <f t="array" ref="P133">_xlfn.IFS(tblDelivery[[#This Row],[distance_km]]&lt;2,"&lt; 2 km",tblDelivery[[#This Row],[distance_km]]&lt;5,"2 to 5 km",tblDelivery[[#This Row],[distance_km]]&lt;10,"5 to 10 km",TRUE,"10 km and above")</f>
        <v>5 to 10 km</v>
      </c>
      <c r="Q133" s="8" t="str" cm="1">
        <f t="array" ref="Q133">_xlfn.IFS(tblDelivery[[#This Row],[route_length_km]]&lt;2,"&lt;2 km",tblDelivery[[#This Row],[route_length_km]]&lt;5,"2 to 5 km",tblDelivery[[#This Row],[route_length_km]]&lt;10,"5 to 10 km",TRUE,"10 km and above")</f>
        <v>10 km and above</v>
      </c>
      <c r="T133" s="8"/>
    </row>
    <row r="134" spans="1:20" x14ac:dyDescent="0.25">
      <c r="A134" s="6">
        <v>133</v>
      </c>
      <c r="B134" s="2">
        <v>11.09</v>
      </c>
      <c r="C134" s="8">
        <v>57.8</v>
      </c>
      <c r="D134" s="3" t="s">
        <v>10</v>
      </c>
      <c r="E134" s="2">
        <v>12.59</v>
      </c>
      <c r="F134" t="s">
        <v>23</v>
      </c>
      <c r="G134" t="s">
        <v>20</v>
      </c>
      <c r="H134" s="1">
        <v>45661.645138888889</v>
      </c>
      <c r="I134" t="s">
        <v>13</v>
      </c>
      <c r="J134" t="s">
        <v>13</v>
      </c>
      <c r="K134" s="10">
        <f>INT(tblDelivery[[#This Row],[order_time]])</f>
        <v>45661</v>
      </c>
      <c r="L134" s="8">
        <f>HOUR(tblDelivery[[#This Row],[order_time]])</f>
        <v>15</v>
      </c>
      <c r="M134">
        <f>IF(tblDelivery[[#This Row],[delivery_time_min]]&lt;=Time_Target,1,0)</f>
        <v>0</v>
      </c>
      <c r="N134" s="8">
        <f>IF(AND(COUNTBLANK(tblDelivery[[#This Row],[order_id]:[customer_zone]])=0,tblDelivery[[#This Row],[delivery_time_min]]&gt;0,tblDelivery[[#This Row],[distance_km]]&gt;0,tblDelivery[[#This Row],[route_length_km]]&gt;=tblDelivery[[#This Row],[distance_km]]*0.99,COUNTIFS(tblDelivery[order_id],tblDelivery[[#This Row],[order_id]])=1),1,0)</f>
        <v>1</v>
      </c>
      <c r="O134" s="8">
        <f>SUBTOTAL(103,tblDelivery[[#This Row],[order_id]])</f>
        <v>1</v>
      </c>
      <c r="P134" s="8" t="str" cm="1">
        <f t="array" ref="P134">_xlfn.IFS(tblDelivery[[#This Row],[distance_km]]&lt;2,"&lt; 2 km",tblDelivery[[#This Row],[distance_km]]&lt;5,"2 to 5 km",tblDelivery[[#This Row],[distance_km]]&lt;10,"5 to 10 km",TRUE,"10 km and above")</f>
        <v>10 km and above</v>
      </c>
      <c r="Q134" s="8" t="str" cm="1">
        <f t="array" ref="Q134">_xlfn.IFS(tblDelivery[[#This Row],[route_length_km]]&lt;2,"&lt;2 km",tblDelivery[[#This Row],[route_length_km]]&lt;5,"2 to 5 km",tblDelivery[[#This Row],[route_length_km]]&lt;10,"5 to 10 km",TRUE,"10 km and above")</f>
        <v>10 km and above</v>
      </c>
      <c r="T134" s="8"/>
    </row>
    <row r="135" spans="1:20" x14ac:dyDescent="0.25">
      <c r="A135" s="6">
        <v>134</v>
      </c>
      <c r="B135" s="2">
        <v>10</v>
      </c>
      <c r="C135" s="8">
        <v>102.3</v>
      </c>
      <c r="D135" s="3" t="s">
        <v>22</v>
      </c>
      <c r="E135" s="2">
        <v>14.72</v>
      </c>
      <c r="F135" t="s">
        <v>11</v>
      </c>
      <c r="G135" t="s">
        <v>12</v>
      </c>
      <c r="H135" s="1">
        <v>45660.202777777777</v>
      </c>
      <c r="I135" t="s">
        <v>25</v>
      </c>
      <c r="J135" t="s">
        <v>25</v>
      </c>
      <c r="K135" s="10">
        <f>INT(tblDelivery[[#This Row],[order_time]])</f>
        <v>45660</v>
      </c>
      <c r="L135" s="8">
        <f>HOUR(tblDelivery[[#This Row],[order_time]])</f>
        <v>4</v>
      </c>
      <c r="M135">
        <f>IF(tblDelivery[[#This Row],[delivery_time_min]]&lt;=Time_Target,1,0)</f>
        <v>0</v>
      </c>
      <c r="N135" s="8">
        <f>IF(AND(COUNTBLANK(tblDelivery[[#This Row],[order_id]:[customer_zone]])=0,tblDelivery[[#This Row],[delivery_time_min]]&gt;0,tblDelivery[[#This Row],[distance_km]]&gt;0,tblDelivery[[#This Row],[route_length_km]]&gt;=tblDelivery[[#This Row],[distance_km]]*0.99,COUNTIFS(tblDelivery[order_id],tblDelivery[[#This Row],[order_id]])=1),1,0)</f>
        <v>1</v>
      </c>
      <c r="O135" s="8">
        <f>SUBTOTAL(103,tblDelivery[[#This Row],[order_id]])</f>
        <v>1</v>
      </c>
      <c r="P135" s="8" t="str" cm="1">
        <f t="array" ref="P135">_xlfn.IFS(tblDelivery[[#This Row],[distance_km]]&lt;2,"&lt; 2 km",tblDelivery[[#This Row],[distance_km]]&lt;5,"2 to 5 km",tblDelivery[[#This Row],[distance_km]]&lt;10,"5 to 10 km",TRUE,"10 km and above")</f>
        <v>10 km and above</v>
      </c>
      <c r="Q135" s="8" t="str" cm="1">
        <f t="array" ref="Q135">_xlfn.IFS(tblDelivery[[#This Row],[route_length_km]]&lt;2,"&lt;2 km",tblDelivery[[#This Row],[route_length_km]]&lt;5,"2 to 5 km",tblDelivery[[#This Row],[route_length_km]]&lt;10,"5 to 10 km",TRUE,"10 km and above")</f>
        <v>10 km and above</v>
      </c>
      <c r="T135" s="8"/>
    </row>
    <row r="136" spans="1:20" x14ac:dyDescent="0.25">
      <c r="A136" s="6">
        <v>135</v>
      </c>
      <c r="B136" s="2">
        <v>0.99</v>
      </c>
      <c r="C136" s="8">
        <v>5.4</v>
      </c>
      <c r="D136" s="3" t="s">
        <v>18</v>
      </c>
      <c r="E136" s="2">
        <v>1.33</v>
      </c>
      <c r="F136" t="s">
        <v>11</v>
      </c>
      <c r="G136" t="s">
        <v>12</v>
      </c>
      <c r="H136" s="1">
        <v>45661.26458333333</v>
      </c>
      <c r="I136" t="s">
        <v>13</v>
      </c>
      <c r="J136" t="s">
        <v>13</v>
      </c>
      <c r="K136" s="10">
        <f>INT(tblDelivery[[#This Row],[order_time]])</f>
        <v>45661</v>
      </c>
      <c r="L136" s="8">
        <f>HOUR(tblDelivery[[#This Row],[order_time]])</f>
        <v>6</v>
      </c>
      <c r="M136">
        <f>IF(tblDelivery[[#This Row],[delivery_time_min]]&lt;=Time_Target,1,0)</f>
        <v>1</v>
      </c>
      <c r="N136" s="8">
        <f>IF(AND(COUNTBLANK(tblDelivery[[#This Row],[order_id]:[customer_zone]])=0,tblDelivery[[#This Row],[delivery_time_min]]&gt;0,tblDelivery[[#This Row],[distance_km]]&gt;0,tblDelivery[[#This Row],[route_length_km]]&gt;=tblDelivery[[#This Row],[distance_km]]*0.99,COUNTIFS(tblDelivery[order_id],tblDelivery[[#This Row],[order_id]])=1),1,0)</f>
        <v>1</v>
      </c>
      <c r="O136" s="8">
        <f>SUBTOTAL(103,tblDelivery[[#This Row],[order_id]])</f>
        <v>1</v>
      </c>
      <c r="P136" s="8" t="str" cm="1">
        <f t="array" ref="P136">_xlfn.IFS(tblDelivery[[#This Row],[distance_km]]&lt;2,"&lt; 2 km",tblDelivery[[#This Row],[distance_km]]&lt;5,"2 to 5 km",tblDelivery[[#This Row],[distance_km]]&lt;10,"5 to 10 km",TRUE,"10 km and above")</f>
        <v>&lt; 2 km</v>
      </c>
      <c r="Q136" s="8" t="str" cm="1">
        <f t="array" ref="Q136">_xlfn.IFS(tblDelivery[[#This Row],[route_length_km]]&lt;2,"&lt;2 km",tblDelivery[[#This Row],[route_length_km]]&lt;5,"2 to 5 km",tblDelivery[[#This Row],[route_length_km]]&lt;10,"5 to 10 km",TRUE,"10 km and above")</f>
        <v>&lt;2 km</v>
      </c>
      <c r="T136" s="8"/>
    </row>
    <row r="137" spans="1:20" x14ac:dyDescent="0.25">
      <c r="A137" s="6">
        <v>136</v>
      </c>
      <c r="B137" s="2">
        <v>8.07</v>
      </c>
      <c r="C137" s="8">
        <v>57.2</v>
      </c>
      <c r="D137" s="3" t="s">
        <v>10</v>
      </c>
      <c r="E137" s="2">
        <v>9.34</v>
      </c>
      <c r="F137" t="s">
        <v>23</v>
      </c>
      <c r="G137" t="s">
        <v>20</v>
      </c>
      <c r="H137" s="1">
        <v>45659.72152777778</v>
      </c>
      <c r="I137" t="s">
        <v>17</v>
      </c>
      <c r="J137" t="s">
        <v>25</v>
      </c>
      <c r="K137" s="10">
        <f>INT(tblDelivery[[#This Row],[order_time]])</f>
        <v>45659</v>
      </c>
      <c r="L137" s="8">
        <f>HOUR(tblDelivery[[#This Row],[order_time]])</f>
        <v>17</v>
      </c>
      <c r="M137">
        <f>IF(tblDelivery[[#This Row],[delivery_time_min]]&lt;=Time_Target,1,0)</f>
        <v>0</v>
      </c>
      <c r="N137" s="8">
        <f>IF(AND(COUNTBLANK(tblDelivery[[#This Row],[order_id]:[customer_zone]])=0,tblDelivery[[#This Row],[delivery_time_min]]&gt;0,tblDelivery[[#This Row],[distance_km]]&gt;0,tblDelivery[[#This Row],[route_length_km]]&gt;=tblDelivery[[#This Row],[distance_km]]*0.99,COUNTIFS(tblDelivery[order_id],tblDelivery[[#This Row],[order_id]])=1),1,0)</f>
        <v>1</v>
      </c>
      <c r="O137" s="8">
        <f>SUBTOTAL(103,tblDelivery[[#This Row],[order_id]])</f>
        <v>1</v>
      </c>
      <c r="P137" s="8" t="str" cm="1">
        <f t="array" ref="P137">_xlfn.IFS(tblDelivery[[#This Row],[distance_km]]&lt;2,"&lt; 2 km",tblDelivery[[#This Row],[distance_km]]&lt;5,"2 to 5 km",tblDelivery[[#This Row],[distance_km]]&lt;10,"5 to 10 km",TRUE,"10 km and above")</f>
        <v>5 to 10 km</v>
      </c>
      <c r="Q137" s="8" t="str" cm="1">
        <f t="array" ref="Q137">_xlfn.IFS(tblDelivery[[#This Row],[route_length_km]]&lt;2,"&lt;2 km",tblDelivery[[#This Row],[route_length_km]]&lt;5,"2 to 5 km",tblDelivery[[#This Row],[route_length_km]]&lt;10,"5 to 10 km",TRUE,"10 km and above")</f>
        <v>5 to 10 km</v>
      </c>
      <c r="T137" s="8"/>
    </row>
    <row r="138" spans="1:20" x14ac:dyDescent="0.25">
      <c r="A138" s="6">
        <v>137</v>
      </c>
      <c r="B138" s="2">
        <v>2.57</v>
      </c>
      <c r="C138" s="8">
        <v>21.2</v>
      </c>
      <c r="D138" s="3" t="s">
        <v>18</v>
      </c>
      <c r="E138" s="2">
        <v>3.51</v>
      </c>
      <c r="F138" t="s">
        <v>11</v>
      </c>
      <c r="G138" t="s">
        <v>24</v>
      </c>
      <c r="H138" s="1">
        <v>45658.734722222223</v>
      </c>
      <c r="I138" t="s">
        <v>14</v>
      </c>
      <c r="J138" t="s">
        <v>25</v>
      </c>
      <c r="K138" s="10">
        <f>INT(tblDelivery[[#This Row],[order_time]])</f>
        <v>45658</v>
      </c>
      <c r="L138" s="8">
        <f>HOUR(tblDelivery[[#This Row],[order_time]])</f>
        <v>17</v>
      </c>
      <c r="M138">
        <f>IF(tblDelivery[[#This Row],[delivery_time_min]]&lt;=Time_Target,1,0)</f>
        <v>1</v>
      </c>
      <c r="N138" s="8">
        <f>IF(AND(COUNTBLANK(tblDelivery[[#This Row],[order_id]:[customer_zone]])=0,tblDelivery[[#This Row],[delivery_time_min]]&gt;0,tblDelivery[[#This Row],[distance_km]]&gt;0,tblDelivery[[#This Row],[route_length_km]]&gt;=tblDelivery[[#This Row],[distance_km]]*0.99,COUNTIFS(tblDelivery[order_id],tblDelivery[[#This Row],[order_id]])=1),1,0)</f>
        <v>1</v>
      </c>
      <c r="O138" s="8">
        <f>SUBTOTAL(103,tblDelivery[[#This Row],[order_id]])</f>
        <v>1</v>
      </c>
      <c r="P138" s="8" t="str" cm="1">
        <f t="array" ref="P138">_xlfn.IFS(tblDelivery[[#This Row],[distance_km]]&lt;2,"&lt; 2 km",tblDelivery[[#This Row],[distance_km]]&lt;5,"2 to 5 km",tblDelivery[[#This Row],[distance_km]]&lt;10,"5 to 10 km",TRUE,"10 km and above")</f>
        <v>2 to 5 km</v>
      </c>
      <c r="Q138" s="8" t="str" cm="1">
        <f t="array" ref="Q138">_xlfn.IFS(tblDelivery[[#This Row],[route_length_km]]&lt;2,"&lt;2 km",tblDelivery[[#This Row],[route_length_km]]&lt;5,"2 to 5 km",tblDelivery[[#This Row],[route_length_km]]&lt;10,"5 to 10 km",TRUE,"10 km and above")</f>
        <v>2 to 5 km</v>
      </c>
      <c r="T138" s="8"/>
    </row>
    <row r="139" spans="1:20" x14ac:dyDescent="0.25">
      <c r="A139" s="6">
        <v>138</v>
      </c>
      <c r="B139" s="2">
        <v>10.99</v>
      </c>
      <c r="C139" s="8">
        <v>63.9</v>
      </c>
      <c r="D139" s="3" t="s">
        <v>18</v>
      </c>
      <c r="E139" s="2">
        <v>13.74</v>
      </c>
      <c r="F139" t="s">
        <v>11</v>
      </c>
      <c r="G139" t="s">
        <v>20</v>
      </c>
      <c r="H139" s="1">
        <v>45658.474999999999</v>
      </c>
      <c r="I139" t="s">
        <v>13</v>
      </c>
      <c r="J139" t="s">
        <v>25</v>
      </c>
      <c r="K139" s="10">
        <f>INT(tblDelivery[[#This Row],[order_time]])</f>
        <v>45658</v>
      </c>
      <c r="L139" s="8">
        <f>HOUR(tblDelivery[[#This Row],[order_time]])</f>
        <v>11</v>
      </c>
      <c r="M139">
        <f>IF(tblDelivery[[#This Row],[delivery_time_min]]&lt;=Time_Target,1,0)</f>
        <v>0</v>
      </c>
      <c r="N139" s="8">
        <f>IF(AND(COUNTBLANK(tblDelivery[[#This Row],[order_id]:[customer_zone]])=0,tblDelivery[[#This Row],[delivery_time_min]]&gt;0,tblDelivery[[#This Row],[distance_km]]&gt;0,tblDelivery[[#This Row],[route_length_km]]&gt;=tblDelivery[[#This Row],[distance_km]]*0.99,COUNTIFS(tblDelivery[order_id],tblDelivery[[#This Row],[order_id]])=1),1,0)</f>
        <v>1</v>
      </c>
      <c r="O139" s="8">
        <f>SUBTOTAL(103,tblDelivery[[#This Row],[order_id]])</f>
        <v>1</v>
      </c>
      <c r="P139" s="8" t="str" cm="1">
        <f t="array" ref="P139">_xlfn.IFS(tblDelivery[[#This Row],[distance_km]]&lt;2,"&lt; 2 km",tblDelivery[[#This Row],[distance_km]]&lt;5,"2 to 5 km",tblDelivery[[#This Row],[distance_km]]&lt;10,"5 to 10 km",TRUE,"10 km and above")</f>
        <v>10 km and above</v>
      </c>
      <c r="Q139" s="8" t="str" cm="1">
        <f t="array" ref="Q139">_xlfn.IFS(tblDelivery[[#This Row],[route_length_km]]&lt;2,"&lt;2 km",tblDelivery[[#This Row],[route_length_km]]&lt;5,"2 to 5 km",tblDelivery[[#This Row],[route_length_km]]&lt;10,"5 to 10 km",TRUE,"10 km and above")</f>
        <v>10 km and above</v>
      </c>
      <c r="T139" s="8"/>
    </row>
    <row r="140" spans="1:20" x14ac:dyDescent="0.25">
      <c r="A140" s="6">
        <v>139</v>
      </c>
      <c r="B140" s="2">
        <v>6.9</v>
      </c>
      <c r="C140" s="8">
        <v>47.8</v>
      </c>
      <c r="D140" s="3" t="s">
        <v>22</v>
      </c>
      <c r="E140" s="2">
        <v>7.2</v>
      </c>
      <c r="F140" t="s">
        <v>19</v>
      </c>
      <c r="G140" t="s">
        <v>24</v>
      </c>
      <c r="H140" s="1">
        <v>45659.261111111111</v>
      </c>
      <c r="I140" t="s">
        <v>17</v>
      </c>
      <c r="J140" t="s">
        <v>14</v>
      </c>
      <c r="K140" s="10">
        <f>INT(tblDelivery[[#This Row],[order_time]])</f>
        <v>45659</v>
      </c>
      <c r="L140" s="8">
        <f>HOUR(tblDelivery[[#This Row],[order_time]])</f>
        <v>6</v>
      </c>
      <c r="M140">
        <f>IF(tblDelivery[[#This Row],[delivery_time_min]]&lt;=Time_Target,1,0)</f>
        <v>0</v>
      </c>
      <c r="N140" s="8">
        <f>IF(AND(COUNTBLANK(tblDelivery[[#This Row],[order_id]:[customer_zone]])=0,tblDelivery[[#This Row],[delivery_time_min]]&gt;0,tblDelivery[[#This Row],[distance_km]]&gt;0,tblDelivery[[#This Row],[route_length_km]]&gt;=tblDelivery[[#This Row],[distance_km]]*0.99,COUNTIFS(tblDelivery[order_id],tblDelivery[[#This Row],[order_id]])=1),1,0)</f>
        <v>1</v>
      </c>
      <c r="O140" s="8">
        <f>SUBTOTAL(103,tblDelivery[[#This Row],[order_id]])</f>
        <v>1</v>
      </c>
      <c r="P140" s="8" t="str" cm="1">
        <f t="array" ref="P140">_xlfn.IFS(tblDelivery[[#This Row],[distance_km]]&lt;2,"&lt; 2 km",tblDelivery[[#This Row],[distance_km]]&lt;5,"2 to 5 km",tblDelivery[[#This Row],[distance_km]]&lt;10,"5 to 10 km",TRUE,"10 km and above")</f>
        <v>5 to 10 km</v>
      </c>
      <c r="Q140" s="8" t="str" cm="1">
        <f t="array" ref="Q140">_xlfn.IFS(tblDelivery[[#This Row],[route_length_km]]&lt;2,"&lt;2 km",tblDelivery[[#This Row],[route_length_km]]&lt;5,"2 to 5 km",tblDelivery[[#This Row],[route_length_km]]&lt;10,"5 to 10 km",TRUE,"10 km and above")</f>
        <v>5 to 10 km</v>
      </c>
      <c r="T140" s="8"/>
    </row>
    <row r="141" spans="1:20" x14ac:dyDescent="0.25">
      <c r="A141" s="6">
        <v>140</v>
      </c>
      <c r="B141" s="2">
        <v>10.79</v>
      </c>
      <c r="C141" s="8">
        <v>76.7</v>
      </c>
      <c r="D141" s="3" t="s">
        <v>22</v>
      </c>
      <c r="E141" s="2">
        <v>13.96</v>
      </c>
      <c r="F141" t="s">
        <v>19</v>
      </c>
      <c r="G141" t="s">
        <v>16</v>
      </c>
      <c r="H141" s="1">
        <v>45658.444444444445</v>
      </c>
      <c r="I141" t="s">
        <v>21</v>
      </c>
      <c r="J141" t="s">
        <v>17</v>
      </c>
      <c r="K141" s="10">
        <f>INT(tblDelivery[[#This Row],[order_time]])</f>
        <v>45658</v>
      </c>
      <c r="L141" s="8">
        <f>HOUR(tblDelivery[[#This Row],[order_time]])</f>
        <v>10</v>
      </c>
      <c r="M141">
        <f>IF(tblDelivery[[#This Row],[delivery_time_min]]&lt;=Time_Target,1,0)</f>
        <v>0</v>
      </c>
      <c r="N141" s="8">
        <f>IF(AND(COUNTBLANK(tblDelivery[[#This Row],[order_id]:[customer_zone]])=0,tblDelivery[[#This Row],[delivery_time_min]]&gt;0,tblDelivery[[#This Row],[distance_km]]&gt;0,tblDelivery[[#This Row],[route_length_km]]&gt;=tblDelivery[[#This Row],[distance_km]]*0.99,COUNTIFS(tblDelivery[order_id],tblDelivery[[#This Row],[order_id]])=1),1,0)</f>
        <v>1</v>
      </c>
      <c r="O141" s="8">
        <f>SUBTOTAL(103,tblDelivery[[#This Row],[order_id]])</f>
        <v>1</v>
      </c>
      <c r="P141" s="8" t="str" cm="1">
        <f t="array" ref="P141">_xlfn.IFS(tblDelivery[[#This Row],[distance_km]]&lt;2,"&lt; 2 km",tblDelivery[[#This Row],[distance_km]]&lt;5,"2 to 5 km",tblDelivery[[#This Row],[distance_km]]&lt;10,"5 to 10 km",TRUE,"10 km and above")</f>
        <v>10 km and above</v>
      </c>
      <c r="Q141" s="8" t="str" cm="1">
        <f t="array" ref="Q141">_xlfn.IFS(tblDelivery[[#This Row],[route_length_km]]&lt;2,"&lt;2 km",tblDelivery[[#This Row],[route_length_km]]&lt;5,"2 to 5 km",tblDelivery[[#This Row],[route_length_km]]&lt;10,"5 to 10 km",TRUE,"10 km and above")</f>
        <v>10 km and above</v>
      </c>
      <c r="T141" s="8"/>
    </row>
    <row r="142" spans="1:20" x14ac:dyDescent="0.25">
      <c r="A142" s="6">
        <v>141</v>
      </c>
      <c r="B142" s="2">
        <v>7.06</v>
      </c>
      <c r="C142" s="8">
        <v>47.7</v>
      </c>
      <c r="D142" s="3" t="s">
        <v>18</v>
      </c>
      <c r="E142" s="2">
        <v>7.66</v>
      </c>
      <c r="F142" t="s">
        <v>19</v>
      </c>
      <c r="G142" t="s">
        <v>16</v>
      </c>
      <c r="H142" s="1">
        <v>45659.904166666667</v>
      </c>
      <c r="I142" t="s">
        <v>13</v>
      </c>
      <c r="J142" t="s">
        <v>25</v>
      </c>
      <c r="K142" s="10">
        <f>INT(tblDelivery[[#This Row],[order_time]])</f>
        <v>45659</v>
      </c>
      <c r="L142" s="8">
        <f>HOUR(tblDelivery[[#This Row],[order_time]])</f>
        <v>21</v>
      </c>
      <c r="M142">
        <f>IF(tblDelivery[[#This Row],[delivery_time_min]]&lt;=Time_Target,1,0)</f>
        <v>0</v>
      </c>
      <c r="N142" s="8">
        <f>IF(AND(COUNTBLANK(tblDelivery[[#This Row],[order_id]:[customer_zone]])=0,tblDelivery[[#This Row],[delivery_time_min]]&gt;0,tblDelivery[[#This Row],[distance_km]]&gt;0,tblDelivery[[#This Row],[route_length_km]]&gt;=tblDelivery[[#This Row],[distance_km]]*0.99,COUNTIFS(tblDelivery[order_id],tblDelivery[[#This Row],[order_id]])=1),1,0)</f>
        <v>1</v>
      </c>
      <c r="O142" s="8">
        <f>SUBTOTAL(103,tblDelivery[[#This Row],[order_id]])</f>
        <v>1</v>
      </c>
      <c r="P142" s="8" t="str" cm="1">
        <f t="array" ref="P142">_xlfn.IFS(tblDelivery[[#This Row],[distance_km]]&lt;2,"&lt; 2 km",tblDelivery[[#This Row],[distance_km]]&lt;5,"2 to 5 km",tblDelivery[[#This Row],[distance_km]]&lt;10,"5 to 10 km",TRUE,"10 km and above")</f>
        <v>5 to 10 km</v>
      </c>
      <c r="Q142" s="8" t="str" cm="1">
        <f t="array" ref="Q142">_xlfn.IFS(tblDelivery[[#This Row],[route_length_km]]&lt;2,"&lt;2 km",tblDelivery[[#This Row],[route_length_km]]&lt;5,"2 to 5 km",tblDelivery[[#This Row],[route_length_km]]&lt;10,"5 to 10 km",TRUE,"10 km and above")</f>
        <v>5 to 10 km</v>
      </c>
      <c r="T142" s="8"/>
    </row>
    <row r="143" spans="1:20" x14ac:dyDescent="0.25">
      <c r="A143" s="6">
        <v>142</v>
      </c>
      <c r="B143" s="2">
        <v>1.41</v>
      </c>
      <c r="C143" s="8">
        <v>9.8000000000000007</v>
      </c>
      <c r="D143" s="3" t="s">
        <v>10</v>
      </c>
      <c r="E143" s="2">
        <v>1.56</v>
      </c>
      <c r="F143" t="s">
        <v>11</v>
      </c>
      <c r="G143" t="s">
        <v>20</v>
      </c>
      <c r="H143" s="1">
        <v>45658.376388888886</v>
      </c>
      <c r="I143" t="s">
        <v>14</v>
      </c>
      <c r="J143" t="s">
        <v>17</v>
      </c>
      <c r="K143" s="10">
        <f>INT(tblDelivery[[#This Row],[order_time]])</f>
        <v>45658</v>
      </c>
      <c r="L143" s="8">
        <f>HOUR(tblDelivery[[#This Row],[order_time]])</f>
        <v>9</v>
      </c>
      <c r="M143">
        <f>IF(tblDelivery[[#This Row],[delivery_time_min]]&lt;=Time_Target,1,0)</f>
        <v>1</v>
      </c>
      <c r="N143" s="8">
        <f>IF(AND(COUNTBLANK(tblDelivery[[#This Row],[order_id]:[customer_zone]])=0,tblDelivery[[#This Row],[delivery_time_min]]&gt;0,tblDelivery[[#This Row],[distance_km]]&gt;0,tblDelivery[[#This Row],[route_length_km]]&gt;=tblDelivery[[#This Row],[distance_km]]*0.99,COUNTIFS(tblDelivery[order_id],tblDelivery[[#This Row],[order_id]])=1),1,0)</f>
        <v>1</v>
      </c>
      <c r="O143" s="8">
        <f>SUBTOTAL(103,tblDelivery[[#This Row],[order_id]])</f>
        <v>1</v>
      </c>
      <c r="P143" s="8" t="str" cm="1">
        <f t="array" ref="P143">_xlfn.IFS(tblDelivery[[#This Row],[distance_km]]&lt;2,"&lt; 2 km",tblDelivery[[#This Row],[distance_km]]&lt;5,"2 to 5 km",tblDelivery[[#This Row],[distance_km]]&lt;10,"5 to 10 km",TRUE,"10 km and above")</f>
        <v>&lt; 2 km</v>
      </c>
      <c r="Q143" s="8" t="str" cm="1">
        <f t="array" ref="Q143">_xlfn.IFS(tblDelivery[[#This Row],[route_length_km]]&lt;2,"&lt;2 km",tblDelivery[[#This Row],[route_length_km]]&lt;5,"2 to 5 km",tblDelivery[[#This Row],[route_length_km]]&lt;10,"5 to 10 km",TRUE,"10 km and above")</f>
        <v>&lt;2 km</v>
      </c>
      <c r="T143" s="8"/>
    </row>
    <row r="144" spans="1:20" x14ac:dyDescent="0.25">
      <c r="A144" s="6">
        <v>143</v>
      </c>
      <c r="B144" s="2">
        <v>6.37</v>
      </c>
      <c r="C144" s="8">
        <v>39.9</v>
      </c>
      <c r="D144" s="3" t="s">
        <v>10</v>
      </c>
      <c r="E144" s="2">
        <v>9.2100000000000009</v>
      </c>
      <c r="F144" t="s">
        <v>23</v>
      </c>
      <c r="G144" t="s">
        <v>24</v>
      </c>
      <c r="H144" s="1">
        <v>45661.094444444447</v>
      </c>
      <c r="I144" t="s">
        <v>17</v>
      </c>
      <c r="J144" t="s">
        <v>14</v>
      </c>
      <c r="K144" s="10">
        <f>INT(tblDelivery[[#This Row],[order_time]])</f>
        <v>45661</v>
      </c>
      <c r="L144" s="8">
        <f>HOUR(tblDelivery[[#This Row],[order_time]])</f>
        <v>2</v>
      </c>
      <c r="M144">
        <f>IF(tblDelivery[[#This Row],[delivery_time_min]]&lt;=Time_Target,1,0)</f>
        <v>1</v>
      </c>
      <c r="N144" s="8">
        <f>IF(AND(COUNTBLANK(tblDelivery[[#This Row],[order_id]:[customer_zone]])=0,tblDelivery[[#This Row],[delivery_time_min]]&gt;0,tblDelivery[[#This Row],[distance_km]]&gt;0,tblDelivery[[#This Row],[route_length_km]]&gt;=tblDelivery[[#This Row],[distance_km]]*0.99,COUNTIFS(tblDelivery[order_id],tblDelivery[[#This Row],[order_id]])=1),1,0)</f>
        <v>1</v>
      </c>
      <c r="O144" s="8">
        <f>SUBTOTAL(103,tblDelivery[[#This Row],[order_id]])</f>
        <v>1</v>
      </c>
      <c r="P144" s="8" t="str" cm="1">
        <f t="array" ref="P144">_xlfn.IFS(tblDelivery[[#This Row],[distance_km]]&lt;2,"&lt; 2 km",tblDelivery[[#This Row],[distance_km]]&lt;5,"2 to 5 km",tblDelivery[[#This Row],[distance_km]]&lt;10,"5 to 10 km",TRUE,"10 km and above")</f>
        <v>5 to 10 km</v>
      </c>
      <c r="Q144" s="8" t="str" cm="1">
        <f t="array" ref="Q144">_xlfn.IFS(tblDelivery[[#This Row],[route_length_km]]&lt;2,"&lt;2 km",tblDelivery[[#This Row],[route_length_km]]&lt;5,"2 to 5 km",tblDelivery[[#This Row],[route_length_km]]&lt;10,"5 to 10 km",TRUE,"10 km and above")</f>
        <v>5 to 10 km</v>
      </c>
      <c r="T144" s="8"/>
    </row>
    <row r="145" spans="1:20" x14ac:dyDescent="0.25">
      <c r="A145" s="6">
        <v>144</v>
      </c>
      <c r="B145" s="2">
        <v>7.96</v>
      </c>
      <c r="C145" s="8">
        <v>57</v>
      </c>
      <c r="D145" s="3" t="s">
        <v>10</v>
      </c>
      <c r="E145" s="2">
        <v>9.67</v>
      </c>
      <c r="F145" t="s">
        <v>11</v>
      </c>
      <c r="G145" t="s">
        <v>24</v>
      </c>
      <c r="H145" s="1">
        <v>45659.223611111112</v>
      </c>
      <c r="I145" t="s">
        <v>17</v>
      </c>
      <c r="J145" t="s">
        <v>25</v>
      </c>
      <c r="K145" s="10">
        <f>INT(tblDelivery[[#This Row],[order_time]])</f>
        <v>45659</v>
      </c>
      <c r="L145" s="8">
        <f>HOUR(tblDelivery[[#This Row],[order_time]])</f>
        <v>5</v>
      </c>
      <c r="M145">
        <f>IF(tblDelivery[[#This Row],[delivery_time_min]]&lt;=Time_Target,1,0)</f>
        <v>0</v>
      </c>
      <c r="N145" s="8">
        <f>IF(AND(COUNTBLANK(tblDelivery[[#This Row],[order_id]:[customer_zone]])=0,tblDelivery[[#This Row],[delivery_time_min]]&gt;0,tblDelivery[[#This Row],[distance_km]]&gt;0,tblDelivery[[#This Row],[route_length_km]]&gt;=tblDelivery[[#This Row],[distance_km]]*0.99,COUNTIFS(tblDelivery[order_id],tblDelivery[[#This Row],[order_id]])=1),1,0)</f>
        <v>1</v>
      </c>
      <c r="O145" s="8">
        <f>SUBTOTAL(103,tblDelivery[[#This Row],[order_id]])</f>
        <v>1</v>
      </c>
      <c r="P145" s="8" t="str" cm="1">
        <f t="array" ref="P145">_xlfn.IFS(tblDelivery[[#This Row],[distance_km]]&lt;2,"&lt; 2 km",tblDelivery[[#This Row],[distance_km]]&lt;5,"2 to 5 km",tblDelivery[[#This Row],[distance_km]]&lt;10,"5 to 10 km",TRUE,"10 km and above")</f>
        <v>5 to 10 km</v>
      </c>
      <c r="Q145" s="8" t="str" cm="1">
        <f t="array" ref="Q145">_xlfn.IFS(tblDelivery[[#This Row],[route_length_km]]&lt;2,"&lt;2 km",tblDelivery[[#This Row],[route_length_km]]&lt;5,"2 to 5 km",tblDelivery[[#This Row],[route_length_km]]&lt;10,"5 to 10 km",TRUE,"10 km and above")</f>
        <v>5 to 10 km</v>
      </c>
      <c r="T145" s="8"/>
    </row>
    <row r="146" spans="1:20" x14ac:dyDescent="0.25">
      <c r="A146" s="6">
        <v>145</v>
      </c>
      <c r="B146" s="2">
        <v>3.7</v>
      </c>
      <c r="C146" s="8">
        <v>23.2</v>
      </c>
      <c r="D146" s="3" t="s">
        <v>22</v>
      </c>
      <c r="E146" s="2">
        <v>4.46</v>
      </c>
      <c r="F146" t="s">
        <v>15</v>
      </c>
      <c r="G146" t="s">
        <v>12</v>
      </c>
      <c r="H146" s="1">
        <v>45661.143055555556</v>
      </c>
      <c r="I146" t="s">
        <v>25</v>
      </c>
      <c r="J146" t="s">
        <v>14</v>
      </c>
      <c r="K146" s="10">
        <f>INT(tblDelivery[[#This Row],[order_time]])</f>
        <v>45661</v>
      </c>
      <c r="L146" s="8">
        <f>HOUR(tblDelivery[[#This Row],[order_time]])</f>
        <v>3</v>
      </c>
      <c r="M146">
        <f>IF(tblDelivery[[#This Row],[delivery_time_min]]&lt;=Time_Target,1,0)</f>
        <v>1</v>
      </c>
      <c r="N146" s="8">
        <f>IF(AND(COUNTBLANK(tblDelivery[[#This Row],[order_id]:[customer_zone]])=0,tblDelivery[[#This Row],[delivery_time_min]]&gt;0,tblDelivery[[#This Row],[distance_km]]&gt;0,tblDelivery[[#This Row],[route_length_km]]&gt;=tblDelivery[[#This Row],[distance_km]]*0.99,COUNTIFS(tblDelivery[order_id],tblDelivery[[#This Row],[order_id]])=1),1,0)</f>
        <v>1</v>
      </c>
      <c r="O146" s="8">
        <f>SUBTOTAL(103,tblDelivery[[#This Row],[order_id]])</f>
        <v>1</v>
      </c>
      <c r="P146" s="8" t="str" cm="1">
        <f t="array" ref="P146">_xlfn.IFS(tblDelivery[[#This Row],[distance_km]]&lt;2,"&lt; 2 km",tblDelivery[[#This Row],[distance_km]]&lt;5,"2 to 5 km",tblDelivery[[#This Row],[distance_km]]&lt;10,"5 to 10 km",TRUE,"10 km and above")</f>
        <v>2 to 5 km</v>
      </c>
      <c r="Q146" s="8" t="str" cm="1">
        <f t="array" ref="Q146">_xlfn.IFS(tblDelivery[[#This Row],[route_length_km]]&lt;2,"&lt;2 km",tblDelivery[[#This Row],[route_length_km]]&lt;5,"2 to 5 km",tblDelivery[[#This Row],[route_length_km]]&lt;10,"5 to 10 km",TRUE,"10 km and above")</f>
        <v>2 to 5 km</v>
      </c>
      <c r="T146" s="8"/>
    </row>
    <row r="147" spans="1:20" x14ac:dyDescent="0.25">
      <c r="A147" s="6">
        <v>146</v>
      </c>
      <c r="B147" s="2">
        <v>5.34</v>
      </c>
      <c r="C147" s="8">
        <v>44</v>
      </c>
      <c r="D147" s="3" t="s">
        <v>18</v>
      </c>
      <c r="E147" s="2">
        <v>6.56</v>
      </c>
      <c r="F147" t="s">
        <v>15</v>
      </c>
      <c r="G147" t="s">
        <v>16</v>
      </c>
      <c r="H147" s="1">
        <v>45660.063888888886</v>
      </c>
      <c r="I147" t="s">
        <v>25</v>
      </c>
      <c r="J147" t="s">
        <v>13</v>
      </c>
      <c r="K147" s="10">
        <f>INT(tblDelivery[[#This Row],[order_time]])</f>
        <v>45660</v>
      </c>
      <c r="L147" s="8">
        <f>HOUR(tblDelivery[[#This Row],[order_time]])</f>
        <v>1</v>
      </c>
      <c r="M147">
        <f>IF(tblDelivery[[#This Row],[delivery_time_min]]&lt;=Time_Target,1,0)</f>
        <v>1</v>
      </c>
      <c r="N147" s="8">
        <f>IF(AND(COUNTBLANK(tblDelivery[[#This Row],[order_id]:[customer_zone]])=0,tblDelivery[[#This Row],[delivery_time_min]]&gt;0,tblDelivery[[#This Row],[distance_km]]&gt;0,tblDelivery[[#This Row],[route_length_km]]&gt;=tblDelivery[[#This Row],[distance_km]]*0.99,COUNTIFS(tblDelivery[order_id],tblDelivery[[#This Row],[order_id]])=1),1,0)</f>
        <v>1</v>
      </c>
      <c r="O147" s="8">
        <f>SUBTOTAL(103,tblDelivery[[#This Row],[order_id]])</f>
        <v>1</v>
      </c>
      <c r="P147" s="8" t="str" cm="1">
        <f t="array" ref="P147">_xlfn.IFS(tblDelivery[[#This Row],[distance_km]]&lt;2,"&lt; 2 km",tblDelivery[[#This Row],[distance_km]]&lt;5,"2 to 5 km",tblDelivery[[#This Row],[distance_km]]&lt;10,"5 to 10 km",TRUE,"10 km and above")</f>
        <v>5 to 10 km</v>
      </c>
      <c r="Q147" s="8" t="str" cm="1">
        <f t="array" ref="Q147">_xlfn.IFS(tblDelivery[[#This Row],[route_length_km]]&lt;2,"&lt;2 km",tblDelivery[[#This Row],[route_length_km]]&lt;5,"2 to 5 km",tblDelivery[[#This Row],[route_length_km]]&lt;10,"5 to 10 km",TRUE,"10 km and above")</f>
        <v>5 to 10 km</v>
      </c>
      <c r="T147" s="8"/>
    </row>
    <row r="148" spans="1:20" x14ac:dyDescent="0.25">
      <c r="A148" s="6">
        <v>147</v>
      </c>
      <c r="B148" s="2">
        <v>7.31</v>
      </c>
      <c r="C148" s="8">
        <v>42.9</v>
      </c>
      <c r="D148" s="3" t="s">
        <v>22</v>
      </c>
      <c r="E148" s="2">
        <v>9.58</v>
      </c>
      <c r="F148" t="s">
        <v>19</v>
      </c>
      <c r="G148" t="s">
        <v>16</v>
      </c>
      <c r="H148" s="1">
        <v>45661.318749999999</v>
      </c>
      <c r="I148" t="s">
        <v>21</v>
      </c>
      <c r="J148" t="s">
        <v>25</v>
      </c>
      <c r="K148" s="10">
        <f>INT(tblDelivery[[#This Row],[order_time]])</f>
        <v>45661</v>
      </c>
      <c r="L148" s="8">
        <f>HOUR(tblDelivery[[#This Row],[order_time]])</f>
        <v>7</v>
      </c>
      <c r="M148">
        <f>IF(tblDelivery[[#This Row],[delivery_time_min]]&lt;=Time_Target,1,0)</f>
        <v>1</v>
      </c>
      <c r="N148" s="8">
        <f>IF(AND(COUNTBLANK(tblDelivery[[#This Row],[order_id]:[customer_zone]])=0,tblDelivery[[#This Row],[delivery_time_min]]&gt;0,tblDelivery[[#This Row],[distance_km]]&gt;0,tblDelivery[[#This Row],[route_length_km]]&gt;=tblDelivery[[#This Row],[distance_km]]*0.99,COUNTIFS(tblDelivery[order_id],tblDelivery[[#This Row],[order_id]])=1),1,0)</f>
        <v>1</v>
      </c>
      <c r="O148" s="8">
        <f>SUBTOTAL(103,tblDelivery[[#This Row],[order_id]])</f>
        <v>1</v>
      </c>
      <c r="P148" s="8" t="str" cm="1">
        <f t="array" ref="P148">_xlfn.IFS(tblDelivery[[#This Row],[distance_km]]&lt;2,"&lt; 2 km",tblDelivery[[#This Row],[distance_km]]&lt;5,"2 to 5 km",tblDelivery[[#This Row],[distance_km]]&lt;10,"5 to 10 km",TRUE,"10 km and above")</f>
        <v>5 to 10 km</v>
      </c>
      <c r="Q148" s="8" t="str" cm="1">
        <f t="array" ref="Q148">_xlfn.IFS(tblDelivery[[#This Row],[route_length_km]]&lt;2,"&lt;2 km",tblDelivery[[#This Row],[route_length_km]]&lt;5,"2 to 5 km",tblDelivery[[#This Row],[route_length_km]]&lt;10,"5 to 10 km",TRUE,"10 km and above")</f>
        <v>5 to 10 km</v>
      </c>
      <c r="T148" s="8"/>
    </row>
    <row r="149" spans="1:20" x14ac:dyDescent="0.25">
      <c r="A149" s="6">
        <v>148</v>
      </c>
      <c r="B149" s="2">
        <v>2.2200000000000002</v>
      </c>
      <c r="C149" s="8">
        <v>18.399999999999999</v>
      </c>
      <c r="D149" s="3" t="s">
        <v>22</v>
      </c>
      <c r="E149" s="2">
        <v>3.13</v>
      </c>
      <c r="F149" t="s">
        <v>19</v>
      </c>
      <c r="G149" t="s">
        <v>12</v>
      </c>
      <c r="H149" s="1">
        <v>45661.397222222222</v>
      </c>
      <c r="I149" t="s">
        <v>17</v>
      </c>
      <c r="J149" t="s">
        <v>13</v>
      </c>
      <c r="K149" s="10">
        <f>INT(tblDelivery[[#This Row],[order_time]])</f>
        <v>45661</v>
      </c>
      <c r="L149" s="8">
        <f>HOUR(tblDelivery[[#This Row],[order_time]])</f>
        <v>9</v>
      </c>
      <c r="M149">
        <f>IF(tblDelivery[[#This Row],[delivery_time_min]]&lt;=Time_Target,1,0)</f>
        <v>1</v>
      </c>
      <c r="N149" s="8">
        <f>IF(AND(COUNTBLANK(tblDelivery[[#This Row],[order_id]:[customer_zone]])=0,tblDelivery[[#This Row],[delivery_time_min]]&gt;0,tblDelivery[[#This Row],[distance_km]]&gt;0,tblDelivery[[#This Row],[route_length_km]]&gt;=tblDelivery[[#This Row],[distance_km]]*0.99,COUNTIFS(tblDelivery[order_id],tblDelivery[[#This Row],[order_id]])=1),1,0)</f>
        <v>1</v>
      </c>
      <c r="O149" s="8">
        <f>SUBTOTAL(103,tblDelivery[[#This Row],[order_id]])</f>
        <v>1</v>
      </c>
      <c r="P149" s="8" t="str" cm="1">
        <f t="array" ref="P149">_xlfn.IFS(tblDelivery[[#This Row],[distance_km]]&lt;2,"&lt; 2 km",tblDelivery[[#This Row],[distance_km]]&lt;5,"2 to 5 km",tblDelivery[[#This Row],[distance_km]]&lt;10,"5 to 10 km",TRUE,"10 km and above")</f>
        <v>2 to 5 km</v>
      </c>
      <c r="Q149" s="8" t="str" cm="1">
        <f t="array" ref="Q149">_xlfn.IFS(tblDelivery[[#This Row],[route_length_km]]&lt;2,"&lt;2 km",tblDelivery[[#This Row],[route_length_km]]&lt;5,"2 to 5 km",tblDelivery[[#This Row],[route_length_km]]&lt;10,"5 to 10 km",TRUE,"10 km and above")</f>
        <v>2 to 5 km</v>
      </c>
      <c r="T149" s="8"/>
    </row>
    <row r="150" spans="1:20" x14ac:dyDescent="0.25">
      <c r="A150" s="6">
        <v>149</v>
      </c>
      <c r="B150" s="2">
        <v>9.1300000000000008</v>
      </c>
      <c r="C150" s="8">
        <v>61.4</v>
      </c>
      <c r="D150" s="3" t="s">
        <v>22</v>
      </c>
      <c r="E150" s="2">
        <v>12.81</v>
      </c>
      <c r="F150" t="s">
        <v>19</v>
      </c>
      <c r="G150" t="s">
        <v>16</v>
      </c>
      <c r="H150" s="1">
        <v>45659.228472222225</v>
      </c>
      <c r="I150" t="s">
        <v>14</v>
      </c>
      <c r="J150" t="s">
        <v>21</v>
      </c>
      <c r="K150" s="10">
        <f>INT(tblDelivery[[#This Row],[order_time]])</f>
        <v>45659</v>
      </c>
      <c r="L150" s="8">
        <f>HOUR(tblDelivery[[#This Row],[order_time]])</f>
        <v>5</v>
      </c>
      <c r="M150">
        <f>IF(tblDelivery[[#This Row],[delivery_time_min]]&lt;=Time_Target,1,0)</f>
        <v>0</v>
      </c>
      <c r="N150" s="8">
        <f>IF(AND(COUNTBLANK(tblDelivery[[#This Row],[order_id]:[customer_zone]])=0,tblDelivery[[#This Row],[delivery_time_min]]&gt;0,tblDelivery[[#This Row],[distance_km]]&gt;0,tblDelivery[[#This Row],[route_length_km]]&gt;=tblDelivery[[#This Row],[distance_km]]*0.99,COUNTIFS(tblDelivery[order_id],tblDelivery[[#This Row],[order_id]])=1),1,0)</f>
        <v>1</v>
      </c>
      <c r="O150" s="8">
        <f>SUBTOTAL(103,tblDelivery[[#This Row],[order_id]])</f>
        <v>1</v>
      </c>
      <c r="P150" s="8" t="str" cm="1">
        <f t="array" ref="P150">_xlfn.IFS(tblDelivery[[#This Row],[distance_km]]&lt;2,"&lt; 2 km",tblDelivery[[#This Row],[distance_km]]&lt;5,"2 to 5 km",tblDelivery[[#This Row],[distance_km]]&lt;10,"5 to 10 km",TRUE,"10 km and above")</f>
        <v>5 to 10 km</v>
      </c>
      <c r="Q150" s="8" t="str" cm="1">
        <f t="array" ref="Q150">_xlfn.IFS(tblDelivery[[#This Row],[route_length_km]]&lt;2,"&lt;2 km",tblDelivery[[#This Row],[route_length_km]]&lt;5,"2 to 5 km",tblDelivery[[#This Row],[route_length_km]]&lt;10,"5 to 10 km",TRUE,"10 km and above")</f>
        <v>10 km and above</v>
      </c>
      <c r="T150" s="8"/>
    </row>
    <row r="151" spans="1:20" x14ac:dyDescent="0.25">
      <c r="A151" s="6">
        <v>150</v>
      </c>
      <c r="B151" s="2">
        <v>10.130000000000001</v>
      </c>
      <c r="C151" s="8">
        <v>83.7</v>
      </c>
      <c r="D151" s="3" t="s">
        <v>22</v>
      </c>
      <c r="E151" s="2">
        <v>14.87</v>
      </c>
      <c r="F151" t="s">
        <v>11</v>
      </c>
      <c r="G151" t="s">
        <v>24</v>
      </c>
      <c r="H151" s="1">
        <v>45658.447916666664</v>
      </c>
      <c r="I151" t="s">
        <v>14</v>
      </c>
      <c r="J151" t="s">
        <v>14</v>
      </c>
      <c r="K151" s="10">
        <f>INT(tblDelivery[[#This Row],[order_time]])</f>
        <v>45658</v>
      </c>
      <c r="L151" s="8">
        <f>HOUR(tblDelivery[[#This Row],[order_time]])</f>
        <v>10</v>
      </c>
      <c r="M151">
        <f>IF(tblDelivery[[#This Row],[delivery_time_min]]&lt;=Time_Target,1,0)</f>
        <v>0</v>
      </c>
      <c r="N151" s="8">
        <f>IF(AND(COUNTBLANK(tblDelivery[[#This Row],[order_id]:[customer_zone]])=0,tblDelivery[[#This Row],[delivery_time_min]]&gt;0,tblDelivery[[#This Row],[distance_km]]&gt;0,tblDelivery[[#This Row],[route_length_km]]&gt;=tblDelivery[[#This Row],[distance_km]]*0.99,COUNTIFS(tblDelivery[order_id],tblDelivery[[#This Row],[order_id]])=1),1,0)</f>
        <v>1</v>
      </c>
      <c r="O151" s="8">
        <f>SUBTOTAL(103,tblDelivery[[#This Row],[order_id]])</f>
        <v>1</v>
      </c>
      <c r="P151" s="8" t="str" cm="1">
        <f t="array" ref="P151">_xlfn.IFS(tblDelivery[[#This Row],[distance_km]]&lt;2,"&lt; 2 km",tblDelivery[[#This Row],[distance_km]]&lt;5,"2 to 5 km",tblDelivery[[#This Row],[distance_km]]&lt;10,"5 to 10 km",TRUE,"10 km and above")</f>
        <v>10 km and above</v>
      </c>
      <c r="Q151" s="8" t="str" cm="1">
        <f t="array" ref="Q151">_xlfn.IFS(tblDelivery[[#This Row],[route_length_km]]&lt;2,"&lt;2 km",tblDelivery[[#This Row],[route_length_km]]&lt;5,"2 to 5 km",tblDelivery[[#This Row],[route_length_km]]&lt;10,"5 to 10 km",TRUE,"10 km and above")</f>
        <v>10 km and above</v>
      </c>
      <c r="T151" s="8"/>
    </row>
    <row r="152" spans="1:20" x14ac:dyDescent="0.25">
      <c r="A152" s="6">
        <v>151</v>
      </c>
      <c r="B152" s="2">
        <v>3.22</v>
      </c>
      <c r="C152" s="8">
        <v>17.7</v>
      </c>
      <c r="D152" s="3" t="s">
        <v>18</v>
      </c>
      <c r="E152" s="2">
        <v>3.79</v>
      </c>
      <c r="F152" t="s">
        <v>11</v>
      </c>
      <c r="G152" t="s">
        <v>20</v>
      </c>
      <c r="H152" s="1">
        <v>45660.927777777775</v>
      </c>
      <c r="I152" t="s">
        <v>13</v>
      </c>
      <c r="J152" t="s">
        <v>25</v>
      </c>
      <c r="K152" s="10">
        <f>INT(tblDelivery[[#This Row],[order_time]])</f>
        <v>45660</v>
      </c>
      <c r="L152" s="8">
        <f>HOUR(tblDelivery[[#This Row],[order_time]])</f>
        <v>22</v>
      </c>
      <c r="M152">
        <f>IF(tblDelivery[[#This Row],[delivery_time_min]]&lt;=Time_Target,1,0)</f>
        <v>1</v>
      </c>
      <c r="N152" s="8">
        <f>IF(AND(COUNTBLANK(tblDelivery[[#This Row],[order_id]:[customer_zone]])=0,tblDelivery[[#This Row],[delivery_time_min]]&gt;0,tblDelivery[[#This Row],[distance_km]]&gt;0,tblDelivery[[#This Row],[route_length_km]]&gt;=tblDelivery[[#This Row],[distance_km]]*0.99,COUNTIFS(tblDelivery[order_id],tblDelivery[[#This Row],[order_id]])=1),1,0)</f>
        <v>1</v>
      </c>
      <c r="O152" s="8">
        <f>SUBTOTAL(103,tblDelivery[[#This Row],[order_id]])</f>
        <v>1</v>
      </c>
      <c r="P152" s="8" t="str" cm="1">
        <f t="array" ref="P152">_xlfn.IFS(tblDelivery[[#This Row],[distance_km]]&lt;2,"&lt; 2 km",tblDelivery[[#This Row],[distance_km]]&lt;5,"2 to 5 km",tblDelivery[[#This Row],[distance_km]]&lt;10,"5 to 10 km",TRUE,"10 km and above")</f>
        <v>2 to 5 km</v>
      </c>
      <c r="Q152" s="8" t="str" cm="1">
        <f t="array" ref="Q152">_xlfn.IFS(tblDelivery[[#This Row],[route_length_km]]&lt;2,"&lt;2 km",tblDelivery[[#This Row],[route_length_km]]&lt;5,"2 to 5 km",tblDelivery[[#This Row],[route_length_km]]&lt;10,"5 to 10 km",TRUE,"10 km and above")</f>
        <v>2 to 5 km</v>
      </c>
      <c r="T152" s="8"/>
    </row>
    <row r="153" spans="1:20" x14ac:dyDescent="0.25">
      <c r="A153" s="6">
        <v>152</v>
      </c>
      <c r="B153" s="2">
        <v>3.45</v>
      </c>
      <c r="C153" s="8">
        <v>15.4</v>
      </c>
      <c r="D153" s="3" t="s">
        <v>22</v>
      </c>
      <c r="E153" s="2">
        <v>3.6</v>
      </c>
      <c r="F153" t="s">
        <v>15</v>
      </c>
      <c r="G153" t="s">
        <v>20</v>
      </c>
      <c r="H153" s="1">
        <v>45659.534722222219</v>
      </c>
      <c r="I153" t="s">
        <v>17</v>
      </c>
      <c r="J153" t="s">
        <v>13</v>
      </c>
      <c r="K153" s="10">
        <f>INT(tblDelivery[[#This Row],[order_time]])</f>
        <v>45659</v>
      </c>
      <c r="L153" s="8">
        <f>HOUR(tblDelivery[[#This Row],[order_time]])</f>
        <v>12</v>
      </c>
      <c r="M153">
        <f>IF(tblDelivery[[#This Row],[delivery_time_min]]&lt;=Time_Target,1,0)</f>
        <v>1</v>
      </c>
      <c r="N153" s="8">
        <f>IF(AND(COUNTBLANK(tblDelivery[[#This Row],[order_id]:[customer_zone]])=0,tblDelivery[[#This Row],[delivery_time_min]]&gt;0,tblDelivery[[#This Row],[distance_km]]&gt;0,tblDelivery[[#This Row],[route_length_km]]&gt;=tblDelivery[[#This Row],[distance_km]]*0.99,COUNTIFS(tblDelivery[order_id],tblDelivery[[#This Row],[order_id]])=1),1,0)</f>
        <v>1</v>
      </c>
      <c r="O153" s="8">
        <f>SUBTOTAL(103,tblDelivery[[#This Row],[order_id]])</f>
        <v>1</v>
      </c>
      <c r="P153" s="8" t="str" cm="1">
        <f t="array" ref="P153">_xlfn.IFS(tblDelivery[[#This Row],[distance_km]]&lt;2,"&lt; 2 km",tblDelivery[[#This Row],[distance_km]]&lt;5,"2 to 5 km",tblDelivery[[#This Row],[distance_km]]&lt;10,"5 to 10 km",TRUE,"10 km and above")</f>
        <v>2 to 5 km</v>
      </c>
      <c r="Q153" s="8" t="str" cm="1">
        <f t="array" ref="Q153">_xlfn.IFS(tblDelivery[[#This Row],[route_length_km]]&lt;2,"&lt;2 km",tblDelivery[[#This Row],[route_length_km]]&lt;5,"2 to 5 km",tblDelivery[[#This Row],[route_length_km]]&lt;10,"5 to 10 km",TRUE,"10 km and above")</f>
        <v>2 to 5 km</v>
      </c>
      <c r="T153" s="8"/>
    </row>
    <row r="154" spans="1:20" x14ac:dyDescent="0.25">
      <c r="A154" s="6">
        <v>153</v>
      </c>
      <c r="B154" s="2">
        <v>3.56</v>
      </c>
      <c r="C154" s="8">
        <v>28.9</v>
      </c>
      <c r="D154" s="3" t="s">
        <v>18</v>
      </c>
      <c r="E154" s="2">
        <v>4.47</v>
      </c>
      <c r="F154" t="s">
        <v>23</v>
      </c>
      <c r="G154" t="s">
        <v>20</v>
      </c>
      <c r="H154" s="1">
        <v>45660.763888888891</v>
      </c>
      <c r="I154" t="s">
        <v>14</v>
      </c>
      <c r="J154" t="s">
        <v>25</v>
      </c>
      <c r="K154" s="10">
        <f>INT(tblDelivery[[#This Row],[order_time]])</f>
        <v>45660</v>
      </c>
      <c r="L154" s="8">
        <f>HOUR(tblDelivery[[#This Row],[order_time]])</f>
        <v>18</v>
      </c>
      <c r="M154">
        <f>IF(tblDelivery[[#This Row],[delivery_time_min]]&lt;=Time_Target,1,0)</f>
        <v>1</v>
      </c>
      <c r="N154" s="8">
        <f>IF(AND(COUNTBLANK(tblDelivery[[#This Row],[order_id]:[customer_zone]])=0,tblDelivery[[#This Row],[delivery_time_min]]&gt;0,tblDelivery[[#This Row],[distance_km]]&gt;0,tblDelivery[[#This Row],[route_length_km]]&gt;=tblDelivery[[#This Row],[distance_km]]*0.99,COUNTIFS(tblDelivery[order_id],tblDelivery[[#This Row],[order_id]])=1),1,0)</f>
        <v>1</v>
      </c>
      <c r="O154" s="8">
        <f>SUBTOTAL(103,tblDelivery[[#This Row],[order_id]])</f>
        <v>1</v>
      </c>
      <c r="P154" s="8" t="str" cm="1">
        <f t="array" ref="P154">_xlfn.IFS(tblDelivery[[#This Row],[distance_km]]&lt;2,"&lt; 2 km",tblDelivery[[#This Row],[distance_km]]&lt;5,"2 to 5 km",tblDelivery[[#This Row],[distance_km]]&lt;10,"5 to 10 km",TRUE,"10 km and above")</f>
        <v>2 to 5 km</v>
      </c>
      <c r="Q154" s="8" t="str" cm="1">
        <f t="array" ref="Q154">_xlfn.IFS(tblDelivery[[#This Row],[route_length_km]]&lt;2,"&lt;2 km",tblDelivery[[#This Row],[route_length_km]]&lt;5,"2 to 5 km",tblDelivery[[#This Row],[route_length_km]]&lt;10,"5 to 10 km",TRUE,"10 km and above")</f>
        <v>2 to 5 km</v>
      </c>
      <c r="T154" s="8"/>
    </row>
    <row r="155" spans="1:20" x14ac:dyDescent="0.25">
      <c r="A155" s="6">
        <v>154</v>
      </c>
      <c r="B155" s="2">
        <v>7.86</v>
      </c>
      <c r="C155" s="8">
        <v>65.2</v>
      </c>
      <c r="D155" s="3" t="s">
        <v>10</v>
      </c>
      <c r="E155" s="2">
        <v>10.02</v>
      </c>
      <c r="F155" t="s">
        <v>19</v>
      </c>
      <c r="G155" t="s">
        <v>24</v>
      </c>
      <c r="H155" s="1">
        <v>45659.486111111109</v>
      </c>
      <c r="I155" t="s">
        <v>13</v>
      </c>
      <c r="J155" t="s">
        <v>13</v>
      </c>
      <c r="K155" s="10">
        <f>INT(tblDelivery[[#This Row],[order_time]])</f>
        <v>45659</v>
      </c>
      <c r="L155" s="8">
        <f>HOUR(tblDelivery[[#This Row],[order_time]])</f>
        <v>11</v>
      </c>
      <c r="M155">
        <f>IF(tblDelivery[[#This Row],[delivery_time_min]]&lt;=Time_Target,1,0)</f>
        <v>0</v>
      </c>
      <c r="N155" s="8">
        <f>IF(AND(COUNTBLANK(tblDelivery[[#This Row],[order_id]:[customer_zone]])=0,tblDelivery[[#This Row],[delivery_time_min]]&gt;0,tblDelivery[[#This Row],[distance_km]]&gt;0,tblDelivery[[#This Row],[route_length_km]]&gt;=tblDelivery[[#This Row],[distance_km]]*0.99,COUNTIFS(tblDelivery[order_id],tblDelivery[[#This Row],[order_id]])=1),1,0)</f>
        <v>1</v>
      </c>
      <c r="O155" s="8">
        <f>SUBTOTAL(103,tblDelivery[[#This Row],[order_id]])</f>
        <v>1</v>
      </c>
      <c r="P155" s="8" t="str" cm="1">
        <f t="array" ref="P155">_xlfn.IFS(tblDelivery[[#This Row],[distance_km]]&lt;2,"&lt; 2 km",tblDelivery[[#This Row],[distance_km]]&lt;5,"2 to 5 km",tblDelivery[[#This Row],[distance_km]]&lt;10,"5 to 10 km",TRUE,"10 km and above")</f>
        <v>5 to 10 km</v>
      </c>
      <c r="Q155" s="8" t="str" cm="1">
        <f t="array" ref="Q155">_xlfn.IFS(tblDelivery[[#This Row],[route_length_km]]&lt;2,"&lt;2 km",tblDelivery[[#This Row],[route_length_km]]&lt;5,"2 to 5 km",tblDelivery[[#This Row],[route_length_km]]&lt;10,"5 to 10 km",TRUE,"10 km and above")</f>
        <v>10 km and above</v>
      </c>
      <c r="T155" s="8"/>
    </row>
    <row r="156" spans="1:20" x14ac:dyDescent="0.25">
      <c r="A156" s="6">
        <v>155</v>
      </c>
      <c r="B156" s="2">
        <v>4.26</v>
      </c>
      <c r="C156" s="8">
        <v>27.8</v>
      </c>
      <c r="D156" s="3" t="s">
        <v>22</v>
      </c>
      <c r="E156" s="2">
        <v>6.22</v>
      </c>
      <c r="F156" t="s">
        <v>19</v>
      </c>
      <c r="G156" t="s">
        <v>24</v>
      </c>
      <c r="H156" s="1">
        <v>45660.630555555559</v>
      </c>
      <c r="I156" t="s">
        <v>21</v>
      </c>
      <c r="J156" t="s">
        <v>13</v>
      </c>
      <c r="K156" s="10">
        <f>INT(tblDelivery[[#This Row],[order_time]])</f>
        <v>45660</v>
      </c>
      <c r="L156" s="8">
        <f>HOUR(tblDelivery[[#This Row],[order_time]])</f>
        <v>15</v>
      </c>
      <c r="M156">
        <f>IF(tblDelivery[[#This Row],[delivery_time_min]]&lt;=Time_Target,1,0)</f>
        <v>1</v>
      </c>
      <c r="N156" s="8">
        <f>IF(AND(COUNTBLANK(tblDelivery[[#This Row],[order_id]:[customer_zone]])=0,tblDelivery[[#This Row],[delivery_time_min]]&gt;0,tblDelivery[[#This Row],[distance_km]]&gt;0,tblDelivery[[#This Row],[route_length_km]]&gt;=tblDelivery[[#This Row],[distance_km]]*0.99,COUNTIFS(tblDelivery[order_id],tblDelivery[[#This Row],[order_id]])=1),1,0)</f>
        <v>1</v>
      </c>
      <c r="O156" s="8">
        <f>SUBTOTAL(103,tblDelivery[[#This Row],[order_id]])</f>
        <v>1</v>
      </c>
      <c r="P156" s="8" t="str" cm="1">
        <f t="array" ref="P156">_xlfn.IFS(tblDelivery[[#This Row],[distance_km]]&lt;2,"&lt; 2 km",tblDelivery[[#This Row],[distance_km]]&lt;5,"2 to 5 km",tblDelivery[[#This Row],[distance_km]]&lt;10,"5 to 10 km",TRUE,"10 km and above")</f>
        <v>2 to 5 km</v>
      </c>
      <c r="Q156" s="8" t="str" cm="1">
        <f t="array" ref="Q156">_xlfn.IFS(tblDelivery[[#This Row],[route_length_km]]&lt;2,"&lt;2 km",tblDelivery[[#This Row],[route_length_km]]&lt;5,"2 to 5 km",tblDelivery[[#This Row],[route_length_km]]&lt;10,"5 to 10 km",TRUE,"10 km and above")</f>
        <v>5 to 10 km</v>
      </c>
      <c r="T156" s="8"/>
    </row>
    <row r="157" spans="1:20" x14ac:dyDescent="0.25">
      <c r="A157" s="6">
        <v>156</v>
      </c>
      <c r="B157" s="2">
        <v>5.81</v>
      </c>
      <c r="C157" s="8">
        <v>37</v>
      </c>
      <c r="D157" s="3" t="s">
        <v>18</v>
      </c>
      <c r="E157" s="2">
        <v>6.34</v>
      </c>
      <c r="F157" t="s">
        <v>15</v>
      </c>
      <c r="G157" t="s">
        <v>20</v>
      </c>
      <c r="H157" s="1">
        <v>45659.518750000003</v>
      </c>
      <c r="I157" t="s">
        <v>21</v>
      </c>
      <c r="J157" t="s">
        <v>21</v>
      </c>
      <c r="K157" s="10">
        <f>INT(tblDelivery[[#This Row],[order_time]])</f>
        <v>45659</v>
      </c>
      <c r="L157" s="8">
        <f>HOUR(tblDelivery[[#This Row],[order_time]])</f>
        <v>12</v>
      </c>
      <c r="M157">
        <f>IF(tblDelivery[[#This Row],[delivery_time_min]]&lt;=Time_Target,1,0)</f>
        <v>1</v>
      </c>
      <c r="N157" s="8">
        <f>IF(AND(COUNTBLANK(tblDelivery[[#This Row],[order_id]:[customer_zone]])=0,tblDelivery[[#This Row],[delivery_time_min]]&gt;0,tblDelivery[[#This Row],[distance_km]]&gt;0,tblDelivery[[#This Row],[route_length_km]]&gt;=tblDelivery[[#This Row],[distance_km]]*0.99,COUNTIFS(tblDelivery[order_id],tblDelivery[[#This Row],[order_id]])=1),1,0)</f>
        <v>1</v>
      </c>
      <c r="O157" s="8">
        <f>SUBTOTAL(103,tblDelivery[[#This Row],[order_id]])</f>
        <v>1</v>
      </c>
      <c r="P157" s="8" t="str" cm="1">
        <f t="array" ref="P157">_xlfn.IFS(tblDelivery[[#This Row],[distance_km]]&lt;2,"&lt; 2 km",tblDelivery[[#This Row],[distance_km]]&lt;5,"2 to 5 km",tblDelivery[[#This Row],[distance_km]]&lt;10,"5 to 10 km",TRUE,"10 km and above")</f>
        <v>5 to 10 km</v>
      </c>
      <c r="Q157" s="8" t="str" cm="1">
        <f t="array" ref="Q157">_xlfn.IFS(tblDelivery[[#This Row],[route_length_km]]&lt;2,"&lt;2 km",tblDelivery[[#This Row],[route_length_km]]&lt;5,"2 to 5 km",tblDelivery[[#This Row],[route_length_km]]&lt;10,"5 to 10 km",TRUE,"10 km and above")</f>
        <v>5 to 10 km</v>
      </c>
      <c r="T157" s="8"/>
    </row>
    <row r="158" spans="1:20" x14ac:dyDescent="0.25">
      <c r="A158" s="6">
        <v>157</v>
      </c>
      <c r="B158" s="2">
        <v>11.25</v>
      </c>
      <c r="C158" s="8">
        <v>99</v>
      </c>
      <c r="D158" s="3" t="s">
        <v>18</v>
      </c>
      <c r="E158" s="2">
        <v>14.73</v>
      </c>
      <c r="F158" t="s">
        <v>19</v>
      </c>
      <c r="G158" t="s">
        <v>16</v>
      </c>
      <c r="H158" s="1">
        <v>45661.597916666666</v>
      </c>
      <c r="I158" t="s">
        <v>17</v>
      </c>
      <c r="J158" t="s">
        <v>13</v>
      </c>
      <c r="K158" s="10">
        <f>INT(tblDelivery[[#This Row],[order_time]])</f>
        <v>45661</v>
      </c>
      <c r="L158" s="8">
        <f>HOUR(tblDelivery[[#This Row],[order_time]])</f>
        <v>14</v>
      </c>
      <c r="M158">
        <f>IF(tblDelivery[[#This Row],[delivery_time_min]]&lt;=Time_Target,1,0)</f>
        <v>0</v>
      </c>
      <c r="N158" s="8">
        <f>IF(AND(COUNTBLANK(tblDelivery[[#This Row],[order_id]:[customer_zone]])=0,tblDelivery[[#This Row],[delivery_time_min]]&gt;0,tblDelivery[[#This Row],[distance_km]]&gt;0,tblDelivery[[#This Row],[route_length_km]]&gt;=tblDelivery[[#This Row],[distance_km]]*0.99,COUNTIFS(tblDelivery[order_id],tblDelivery[[#This Row],[order_id]])=1),1,0)</f>
        <v>1</v>
      </c>
      <c r="O158" s="8">
        <f>SUBTOTAL(103,tblDelivery[[#This Row],[order_id]])</f>
        <v>1</v>
      </c>
      <c r="P158" s="8" t="str" cm="1">
        <f t="array" ref="P158">_xlfn.IFS(tblDelivery[[#This Row],[distance_km]]&lt;2,"&lt; 2 km",tblDelivery[[#This Row],[distance_km]]&lt;5,"2 to 5 km",tblDelivery[[#This Row],[distance_km]]&lt;10,"5 to 10 km",TRUE,"10 km and above")</f>
        <v>10 km and above</v>
      </c>
      <c r="Q158" s="8" t="str" cm="1">
        <f t="array" ref="Q158">_xlfn.IFS(tblDelivery[[#This Row],[route_length_km]]&lt;2,"&lt;2 km",tblDelivery[[#This Row],[route_length_km]]&lt;5,"2 to 5 km",tblDelivery[[#This Row],[route_length_km]]&lt;10,"5 to 10 km",TRUE,"10 km and above")</f>
        <v>10 km and above</v>
      </c>
      <c r="T158" s="8"/>
    </row>
    <row r="159" spans="1:20" x14ac:dyDescent="0.25">
      <c r="A159" s="6">
        <v>158</v>
      </c>
      <c r="B159" s="2">
        <v>11.13</v>
      </c>
      <c r="C159" s="8">
        <v>70.8</v>
      </c>
      <c r="D159" s="3" t="s">
        <v>10</v>
      </c>
      <c r="E159" s="2">
        <v>11.21</v>
      </c>
      <c r="F159" t="s">
        <v>11</v>
      </c>
      <c r="G159" t="s">
        <v>12</v>
      </c>
      <c r="H159" s="1">
        <v>45660.665972222225</v>
      </c>
      <c r="I159" t="s">
        <v>13</v>
      </c>
      <c r="J159" t="s">
        <v>21</v>
      </c>
      <c r="K159" s="10">
        <f>INT(tblDelivery[[#This Row],[order_time]])</f>
        <v>45660</v>
      </c>
      <c r="L159" s="8">
        <f>HOUR(tblDelivery[[#This Row],[order_time]])</f>
        <v>15</v>
      </c>
      <c r="M159">
        <f>IF(tblDelivery[[#This Row],[delivery_time_min]]&lt;=Time_Target,1,0)</f>
        <v>0</v>
      </c>
      <c r="N159" s="8">
        <f>IF(AND(COUNTBLANK(tblDelivery[[#This Row],[order_id]:[customer_zone]])=0,tblDelivery[[#This Row],[delivery_time_min]]&gt;0,tblDelivery[[#This Row],[distance_km]]&gt;0,tblDelivery[[#This Row],[route_length_km]]&gt;=tblDelivery[[#This Row],[distance_km]]*0.99,COUNTIFS(tblDelivery[order_id],tblDelivery[[#This Row],[order_id]])=1),1,0)</f>
        <v>1</v>
      </c>
      <c r="O159" s="8">
        <f>SUBTOTAL(103,tblDelivery[[#This Row],[order_id]])</f>
        <v>1</v>
      </c>
      <c r="P159" s="8" t="str" cm="1">
        <f t="array" ref="P159">_xlfn.IFS(tblDelivery[[#This Row],[distance_km]]&lt;2,"&lt; 2 km",tblDelivery[[#This Row],[distance_km]]&lt;5,"2 to 5 km",tblDelivery[[#This Row],[distance_km]]&lt;10,"5 to 10 km",TRUE,"10 km and above")</f>
        <v>10 km and above</v>
      </c>
      <c r="Q159" s="8" t="str" cm="1">
        <f t="array" ref="Q159">_xlfn.IFS(tblDelivery[[#This Row],[route_length_km]]&lt;2,"&lt;2 km",tblDelivery[[#This Row],[route_length_km]]&lt;5,"2 to 5 km",tblDelivery[[#This Row],[route_length_km]]&lt;10,"5 to 10 km",TRUE,"10 km and above")</f>
        <v>10 km and above</v>
      </c>
      <c r="T159" s="8"/>
    </row>
    <row r="160" spans="1:20" x14ac:dyDescent="0.25">
      <c r="A160" s="6">
        <v>159</v>
      </c>
      <c r="B160" s="2">
        <v>5.3</v>
      </c>
      <c r="C160" s="8">
        <v>48.7</v>
      </c>
      <c r="D160" s="3" t="s">
        <v>22</v>
      </c>
      <c r="E160" s="2">
        <v>7</v>
      </c>
      <c r="F160" t="s">
        <v>11</v>
      </c>
      <c r="G160" t="s">
        <v>16</v>
      </c>
      <c r="H160" s="1">
        <v>45661.219444444447</v>
      </c>
      <c r="I160" t="s">
        <v>21</v>
      </c>
      <c r="J160" t="s">
        <v>17</v>
      </c>
      <c r="K160" s="10">
        <f>INT(tblDelivery[[#This Row],[order_time]])</f>
        <v>45661</v>
      </c>
      <c r="L160" s="8">
        <f>HOUR(tblDelivery[[#This Row],[order_time]])</f>
        <v>5</v>
      </c>
      <c r="M160">
        <f>IF(tblDelivery[[#This Row],[delivery_time_min]]&lt;=Time_Target,1,0)</f>
        <v>0</v>
      </c>
      <c r="N160" s="8">
        <f>IF(AND(COUNTBLANK(tblDelivery[[#This Row],[order_id]:[customer_zone]])=0,tblDelivery[[#This Row],[delivery_time_min]]&gt;0,tblDelivery[[#This Row],[distance_km]]&gt;0,tblDelivery[[#This Row],[route_length_km]]&gt;=tblDelivery[[#This Row],[distance_km]]*0.99,COUNTIFS(tblDelivery[order_id],tblDelivery[[#This Row],[order_id]])=1),1,0)</f>
        <v>1</v>
      </c>
      <c r="O160" s="8">
        <f>SUBTOTAL(103,tblDelivery[[#This Row],[order_id]])</f>
        <v>1</v>
      </c>
      <c r="P160" s="8" t="str" cm="1">
        <f t="array" ref="P160">_xlfn.IFS(tblDelivery[[#This Row],[distance_km]]&lt;2,"&lt; 2 km",tblDelivery[[#This Row],[distance_km]]&lt;5,"2 to 5 km",tblDelivery[[#This Row],[distance_km]]&lt;10,"5 to 10 km",TRUE,"10 km and above")</f>
        <v>5 to 10 km</v>
      </c>
      <c r="Q160" s="8" t="str" cm="1">
        <f t="array" ref="Q160">_xlfn.IFS(tblDelivery[[#This Row],[route_length_km]]&lt;2,"&lt;2 km",tblDelivery[[#This Row],[route_length_km]]&lt;5,"2 to 5 km",tblDelivery[[#This Row],[route_length_km]]&lt;10,"5 to 10 km",TRUE,"10 km and above")</f>
        <v>5 to 10 km</v>
      </c>
      <c r="T160" s="8"/>
    </row>
    <row r="161" spans="1:20" x14ac:dyDescent="0.25">
      <c r="A161" s="6">
        <v>160</v>
      </c>
      <c r="B161" s="2">
        <v>9.16</v>
      </c>
      <c r="C161" s="8">
        <v>60.7</v>
      </c>
      <c r="D161" s="3" t="s">
        <v>22</v>
      </c>
      <c r="E161" s="2">
        <v>12.47</v>
      </c>
      <c r="F161" t="s">
        <v>15</v>
      </c>
      <c r="G161" t="s">
        <v>16</v>
      </c>
      <c r="H161" s="1">
        <v>45659.32708333333</v>
      </c>
      <c r="I161" t="s">
        <v>21</v>
      </c>
      <c r="J161" t="s">
        <v>13</v>
      </c>
      <c r="K161" s="10">
        <f>INT(tblDelivery[[#This Row],[order_time]])</f>
        <v>45659</v>
      </c>
      <c r="L161" s="8">
        <f>HOUR(tblDelivery[[#This Row],[order_time]])</f>
        <v>7</v>
      </c>
      <c r="M161">
        <f>IF(tblDelivery[[#This Row],[delivery_time_min]]&lt;=Time_Target,1,0)</f>
        <v>0</v>
      </c>
      <c r="N161" s="8">
        <f>IF(AND(COUNTBLANK(tblDelivery[[#This Row],[order_id]:[customer_zone]])=0,tblDelivery[[#This Row],[delivery_time_min]]&gt;0,tblDelivery[[#This Row],[distance_km]]&gt;0,tblDelivery[[#This Row],[route_length_km]]&gt;=tblDelivery[[#This Row],[distance_km]]*0.99,COUNTIFS(tblDelivery[order_id],tblDelivery[[#This Row],[order_id]])=1),1,0)</f>
        <v>1</v>
      </c>
      <c r="O161" s="8">
        <f>SUBTOTAL(103,tblDelivery[[#This Row],[order_id]])</f>
        <v>1</v>
      </c>
      <c r="P161" s="8" t="str" cm="1">
        <f t="array" ref="P161">_xlfn.IFS(tblDelivery[[#This Row],[distance_km]]&lt;2,"&lt; 2 km",tblDelivery[[#This Row],[distance_km]]&lt;5,"2 to 5 km",tblDelivery[[#This Row],[distance_km]]&lt;10,"5 to 10 km",TRUE,"10 km and above")</f>
        <v>5 to 10 km</v>
      </c>
      <c r="Q161" s="8" t="str" cm="1">
        <f t="array" ref="Q161">_xlfn.IFS(tblDelivery[[#This Row],[route_length_km]]&lt;2,"&lt;2 km",tblDelivery[[#This Row],[route_length_km]]&lt;5,"2 to 5 km",tblDelivery[[#This Row],[route_length_km]]&lt;10,"5 to 10 km",TRUE,"10 km and above")</f>
        <v>10 km and above</v>
      </c>
      <c r="T161" s="8"/>
    </row>
    <row r="162" spans="1:20" x14ac:dyDescent="0.25">
      <c r="A162" s="6">
        <v>161</v>
      </c>
      <c r="B162" s="2">
        <v>10.82</v>
      </c>
      <c r="C162" s="8">
        <v>108.8</v>
      </c>
      <c r="D162" s="3" t="s">
        <v>18</v>
      </c>
      <c r="E162" s="2">
        <v>15.71</v>
      </c>
      <c r="F162" t="s">
        <v>11</v>
      </c>
      <c r="G162" t="s">
        <v>20</v>
      </c>
      <c r="H162" s="1">
        <v>45660.097222222219</v>
      </c>
      <c r="I162" t="s">
        <v>13</v>
      </c>
      <c r="J162" t="s">
        <v>17</v>
      </c>
      <c r="K162" s="10">
        <f>INT(tblDelivery[[#This Row],[order_time]])</f>
        <v>45660</v>
      </c>
      <c r="L162" s="8">
        <f>HOUR(tblDelivery[[#This Row],[order_time]])</f>
        <v>2</v>
      </c>
      <c r="M162">
        <f>IF(tblDelivery[[#This Row],[delivery_time_min]]&lt;=Time_Target,1,0)</f>
        <v>0</v>
      </c>
      <c r="N162" s="8">
        <f>IF(AND(COUNTBLANK(tblDelivery[[#This Row],[order_id]:[customer_zone]])=0,tblDelivery[[#This Row],[delivery_time_min]]&gt;0,tblDelivery[[#This Row],[distance_km]]&gt;0,tblDelivery[[#This Row],[route_length_km]]&gt;=tblDelivery[[#This Row],[distance_km]]*0.99,COUNTIFS(tblDelivery[order_id],tblDelivery[[#This Row],[order_id]])=1),1,0)</f>
        <v>1</v>
      </c>
      <c r="O162" s="8">
        <f>SUBTOTAL(103,tblDelivery[[#This Row],[order_id]])</f>
        <v>1</v>
      </c>
      <c r="P162" s="8" t="str" cm="1">
        <f t="array" ref="P162">_xlfn.IFS(tblDelivery[[#This Row],[distance_km]]&lt;2,"&lt; 2 km",tblDelivery[[#This Row],[distance_km]]&lt;5,"2 to 5 km",tblDelivery[[#This Row],[distance_km]]&lt;10,"5 to 10 km",TRUE,"10 km and above")</f>
        <v>10 km and above</v>
      </c>
      <c r="Q162" s="8" t="str" cm="1">
        <f t="array" ref="Q162">_xlfn.IFS(tblDelivery[[#This Row],[route_length_km]]&lt;2,"&lt;2 km",tblDelivery[[#This Row],[route_length_km]]&lt;5,"2 to 5 km",tblDelivery[[#This Row],[route_length_km]]&lt;10,"5 to 10 km",TRUE,"10 km and above")</f>
        <v>10 km and above</v>
      </c>
      <c r="T162" s="8"/>
    </row>
    <row r="163" spans="1:20" x14ac:dyDescent="0.25">
      <c r="A163" s="6">
        <v>162</v>
      </c>
      <c r="B163" s="2">
        <v>1.29</v>
      </c>
      <c r="C163" s="8">
        <v>9.5</v>
      </c>
      <c r="D163" s="3" t="s">
        <v>22</v>
      </c>
      <c r="E163" s="2">
        <v>1.51</v>
      </c>
      <c r="F163" t="s">
        <v>15</v>
      </c>
      <c r="G163" t="s">
        <v>12</v>
      </c>
      <c r="H163" s="1">
        <v>45658.73541666667</v>
      </c>
      <c r="I163" t="s">
        <v>17</v>
      </c>
      <c r="J163" t="s">
        <v>14</v>
      </c>
      <c r="K163" s="10">
        <f>INT(tblDelivery[[#This Row],[order_time]])</f>
        <v>45658</v>
      </c>
      <c r="L163" s="8">
        <f>HOUR(tblDelivery[[#This Row],[order_time]])</f>
        <v>17</v>
      </c>
      <c r="M163">
        <f>IF(tblDelivery[[#This Row],[delivery_time_min]]&lt;=Time_Target,1,0)</f>
        <v>1</v>
      </c>
      <c r="N163" s="8">
        <f>IF(AND(COUNTBLANK(tblDelivery[[#This Row],[order_id]:[customer_zone]])=0,tblDelivery[[#This Row],[delivery_time_min]]&gt;0,tblDelivery[[#This Row],[distance_km]]&gt;0,tblDelivery[[#This Row],[route_length_km]]&gt;=tblDelivery[[#This Row],[distance_km]]*0.99,COUNTIFS(tblDelivery[order_id],tblDelivery[[#This Row],[order_id]])=1),1,0)</f>
        <v>1</v>
      </c>
      <c r="O163" s="8">
        <f>SUBTOTAL(103,tblDelivery[[#This Row],[order_id]])</f>
        <v>1</v>
      </c>
      <c r="P163" s="8" t="str" cm="1">
        <f t="array" ref="P163">_xlfn.IFS(tblDelivery[[#This Row],[distance_km]]&lt;2,"&lt; 2 km",tblDelivery[[#This Row],[distance_km]]&lt;5,"2 to 5 km",tblDelivery[[#This Row],[distance_km]]&lt;10,"5 to 10 km",TRUE,"10 km and above")</f>
        <v>&lt; 2 km</v>
      </c>
      <c r="Q163" s="8" t="str" cm="1">
        <f t="array" ref="Q163">_xlfn.IFS(tblDelivery[[#This Row],[route_length_km]]&lt;2,"&lt;2 km",tblDelivery[[#This Row],[route_length_km]]&lt;5,"2 to 5 km",tblDelivery[[#This Row],[route_length_km]]&lt;10,"5 to 10 km",TRUE,"10 km and above")</f>
        <v>&lt;2 km</v>
      </c>
      <c r="T163" s="8"/>
    </row>
    <row r="164" spans="1:20" x14ac:dyDescent="0.25">
      <c r="A164" s="6">
        <v>163</v>
      </c>
      <c r="B164" s="2">
        <v>5.05</v>
      </c>
      <c r="C164" s="8">
        <v>39.299999999999997</v>
      </c>
      <c r="D164" s="3" t="s">
        <v>18</v>
      </c>
      <c r="E164" s="2">
        <v>5.76</v>
      </c>
      <c r="F164" t="s">
        <v>19</v>
      </c>
      <c r="G164" t="s">
        <v>20</v>
      </c>
      <c r="H164" s="1">
        <v>45661.272222222222</v>
      </c>
      <c r="I164" t="s">
        <v>25</v>
      </c>
      <c r="J164" t="s">
        <v>14</v>
      </c>
      <c r="K164" s="10">
        <f>INT(tblDelivery[[#This Row],[order_time]])</f>
        <v>45661</v>
      </c>
      <c r="L164" s="8">
        <f>HOUR(tblDelivery[[#This Row],[order_time]])</f>
        <v>6</v>
      </c>
      <c r="M164">
        <f>IF(tblDelivery[[#This Row],[delivery_time_min]]&lt;=Time_Target,1,0)</f>
        <v>1</v>
      </c>
      <c r="N164" s="8">
        <f>IF(AND(COUNTBLANK(tblDelivery[[#This Row],[order_id]:[customer_zone]])=0,tblDelivery[[#This Row],[delivery_time_min]]&gt;0,tblDelivery[[#This Row],[distance_km]]&gt;0,tblDelivery[[#This Row],[route_length_km]]&gt;=tblDelivery[[#This Row],[distance_km]]*0.99,COUNTIFS(tblDelivery[order_id],tblDelivery[[#This Row],[order_id]])=1),1,0)</f>
        <v>1</v>
      </c>
      <c r="O164" s="8">
        <f>SUBTOTAL(103,tblDelivery[[#This Row],[order_id]])</f>
        <v>1</v>
      </c>
      <c r="P164" s="8" t="str" cm="1">
        <f t="array" ref="P164">_xlfn.IFS(tblDelivery[[#This Row],[distance_km]]&lt;2,"&lt; 2 km",tblDelivery[[#This Row],[distance_km]]&lt;5,"2 to 5 km",tblDelivery[[#This Row],[distance_km]]&lt;10,"5 to 10 km",TRUE,"10 km and above")</f>
        <v>5 to 10 km</v>
      </c>
      <c r="Q164" s="8" t="str" cm="1">
        <f t="array" ref="Q164">_xlfn.IFS(tblDelivery[[#This Row],[route_length_km]]&lt;2,"&lt;2 km",tblDelivery[[#This Row],[route_length_km]]&lt;5,"2 to 5 km",tblDelivery[[#This Row],[route_length_km]]&lt;10,"5 to 10 km",TRUE,"10 km and above")</f>
        <v>5 to 10 km</v>
      </c>
      <c r="T164" s="8"/>
    </row>
    <row r="165" spans="1:20" x14ac:dyDescent="0.25">
      <c r="A165" s="6">
        <v>164</v>
      </c>
      <c r="B165" s="2">
        <v>8.07</v>
      </c>
      <c r="C165" s="8">
        <v>61.1</v>
      </c>
      <c r="D165" s="3" t="s">
        <v>18</v>
      </c>
      <c r="E165" s="2">
        <v>9.07</v>
      </c>
      <c r="F165" t="s">
        <v>15</v>
      </c>
      <c r="G165" t="s">
        <v>20</v>
      </c>
      <c r="H165" s="1">
        <v>45660.561111111114</v>
      </c>
      <c r="I165" t="s">
        <v>13</v>
      </c>
      <c r="J165" t="s">
        <v>14</v>
      </c>
      <c r="K165" s="10">
        <f>INT(tblDelivery[[#This Row],[order_time]])</f>
        <v>45660</v>
      </c>
      <c r="L165" s="8">
        <f>HOUR(tblDelivery[[#This Row],[order_time]])</f>
        <v>13</v>
      </c>
      <c r="M165">
        <f>IF(tblDelivery[[#This Row],[delivery_time_min]]&lt;=Time_Target,1,0)</f>
        <v>0</v>
      </c>
      <c r="N165" s="8">
        <f>IF(AND(COUNTBLANK(tblDelivery[[#This Row],[order_id]:[customer_zone]])=0,tblDelivery[[#This Row],[delivery_time_min]]&gt;0,tblDelivery[[#This Row],[distance_km]]&gt;0,tblDelivery[[#This Row],[route_length_km]]&gt;=tblDelivery[[#This Row],[distance_km]]*0.99,COUNTIFS(tblDelivery[order_id],tblDelivery[[#This Row],[order_id]])=1),1,0)</f>
        <v>1</v>
      </c>
      <c r="O165" s="8">
        <f>SUBTOTAL(103,tblDelivery[[#This Row],[order_id]])</f>
        <v>1</v>
      </c>
      <c r="P165" s="8" t="str" cm="1">
        <f t="array" ref="P165">_xlfn.IFS(tblDelivery[[#This Row],[distance_km]]&lt;2,"&lt; 2 km",tblDelivery[[#This Row],[distance_km]]&lt;5,"2 to 5 km",tblDelivery[[#This Row],[distance_km]]&lt;10,"5 to 10 km",TRUE,"10 km and above")</f>
        <v>5 to 10 km</v>
      </c>
      <c r="Q165" s="8" t="str" cm="1">
        <f t="array" ref="Q165">_xlfn.IFS(tblDelivery[[#This Row],[route_length_km]]&lt;2,"&lt;2 km",tblDelivery[[#This Row],[route_length_km]]&lt;5,"2 to 5 km",tblDelivery[[#This Row],[route_length_km]]&lt;10,"5 to 10 km",TRUE,"10 km and above")</f>
        <v>5 to 10 km</v>
      </c>
      <c r="T165" s="8"/>
    </row>
    <row r="166" spans="1:20" x14ac:dyDescent="0.25">
      <c r="A166" s="6">
        <v>165</v>
      </c>
      <c r="B166" s="2">
        <v>10.41</v>
      </c>
      <c r="C166" s="8">
        <v>52</v>
      </c>
      <c r="D166" s="3" t="s">
        <v>18</v>
      </c>
      <c r="E166" s="2">
        <v>10.83</v>
      </c>
      <c r="F166" t="s">
        <v>23</v>
      </c>
      <c r="G166" t="s">
        <v>24</v>
      </c>
      <c r="H166" s="1">
        <v>45659.128472222219</v>
      </c>
      <c r="I166" t="s">
        <v>13</v>
      </c>
      <c r="J166" t="s">
        <v>13</v>
      </c>
      <c r="K166" s="10">
        <f>INT(tblDelivery[[#This Row],[order_time]])</f>
        <v>45659</v>
      </c>
      <c r="L166" s="8">
        <f>HOUR(tblDelivery[[#This Row],[order_time]])</f>
        <v>3</v>
      </c>
      <c r="M166">
        <f>IF(tblDelivery[[#This Row],[delivery_time_min]]&lt;=Time_Target,1,0)</f>
        <v>0</v>
      </c>
      <c r="N166" s="8">
        <f>IF(AND(COUNTBLANK(tblDelivery[[#This Row],[order_id]:[customer_zone]])=0,tblDelivery[[#This Row],[delivery_time_min]]&gt;0,tblDelivery[[#This Row],[distance_km]]&gt;0,tblDelivery[[#This Row],[route_length_km]]&gt;=tblDelivery[[#This Row],[distance_km]]*0.99,COUNTIFS(tblDelivery[order_id],tblDelivery[[#This Row],[order_id]])=1),1,0)</f>
        <v>1</v>
      </c>
      <c r="O166" s="8">
        <f>SUBTOTAL(103,tblDelivery[[#This Row],[order_id]])</f>
        <v>1</v>
      </c>
      <c r="P166" s="8" t="str" cm="1">
        <f t="array" ref="P166">_xlfn.IFS(tblDelivery[[#This Row],[distance_km]]&lt;2,"&lt; 2 km",tblDelivery[[#This Row],[distance_km]]&lt;5,"2 to 5 km",tblDelivery[[#This Row],[distance_km]]&lt;10,"5 to 10 km",TRUE,"10 km and above")</f>
        <v>10 km and above</v>
      </c>
      <c r="Q166" s="8" t="str" cm="1">
        <f t="array" ref="Q166">_xlfn.IFS(tblDelivery[[#This Row],[route_length_km]]&lt;2,"&lt;2 km",tblDelivery[[#This Row],[route_length_km]]&lt;5,"2 to 5 km",tblDelivery[[#This Row],[route_length_km]]&lt;10,"5 to 10 km",TRUE,"10 km and above")</f>
        <v>10 km and above</v>
      </c>
      <c r="T166" s="8"/>
    </row>
    <row r="167" spans="1:20" x14ac:dyDescent="0.25">
      <c r="A167" s="6">
        <v>166</v>
      </c>
      <c r="B167" s="2">
        <v>2.19</v>
      </c>
      <c r="C167" s="8">
        <v>14.1</v>
      </c>
      <c r="D167" s="3" t="s">
        <v>22</v>
      </c>
      <c r="E167" s="2">
        <v>2.68</v>
      </c>
      <c r="F167" t="s">
        <v>19</v>
      </c>
      <c r="G167" t="s">
        <v>20</v>
      </c>
      <c r="H167" s="1">
        <v>45658.430555555555</v>
      </c>
      <c r="I167" t="s">
        <v>21</v>
      </c>
      <c r="J167" t="s">
        <v>14</v>
      </c>
      <c r="K167" s="10">
        <f>INT(tblDelivery[[#This Row],[order_time]])</f>
        <v>45658</v>
      </c>
      <c r="L167" s="8">
        <f>HOUR(tblDelivery[[#This Row],[order_time]])</f>
        <v>10</v>
      </c>
      <c r="M167">
        <f>IF(tblDelivery[[#This Row],[delivery_time_min]]&lt;=Time_Target,1,0)</f>
        <v>1</v>
      </c>
      <c r="N167" s="8">
        <f>IF(AND(COUNTBLANK(tblDelivery[[#This Row],[order_id]:[customer_zone]])=0,tblDelivery[[#This Row],[delivery_time_min]]&gt;0,tblDelivery[[#This Row],[distance_km]]&gt;0,tblDelivery[[#This Row],[route_length_km]]&gt;=tblDelivery[[#This Row],[distance_km]]*0.99,COUNTIFS(tblDelivery[order_id],tblDelivery[[#This Row],[order_id]])=1),1,0)</f>
        <v>1</v>
      </c>
      <c r="O167" s="8">
        <f>SUBTOTAL(103,tblDelivery[[#This Row],[order_id]])</f>
        <v>1</v>
      </c>
      <c r="P167" s="8" t="str" cm="1">
        <f t="array" ref="P167">_xlfn.IFS(tblDelivery[[#This Row],[distance_km]]&lt;2,"&lt; 2 km",tblDelivery[[#This Row],[distance_km]]&lt;5,"2 to 5 km",tblDelivery[[#This Row],[distance_km]]&lt;10,"5 to 10 km",TRUE,"10 km and above")</f>
        <v>2 to 5 km</v>
      </c>
      <c r="Q167" s="8" t="str" cm="1">
        <f t="array" ref="Q167">_xlfn.IFS(tblDelivery[[#This Row],[route_length_km]]&lt;2,"&lt;2 km",tblDelivery[[#This Row],[route_length_km]]&lt;5,"2 to 5 km",tblDelivery[[#This Row],[route_length_km]]&lt;10,"5 to 10 km",TRUE,"10 km and above")</f>
        <v>2 to 5 km</v>
      </c>
      <c r="T167" s="8"/>
    </row>
    <row r="168" spans="1:20" x14ac:dyDescent="0.25">
      <c r="A168" s="6">
        <v>167</v>
      </c>
      <c r="B168" s="2">
        <v>2.87</v>
      </c>
      <c r="C168" s="8">
        <v>17.2</v>
      </c>
      <c r="D168" s="3" t="s">
        <v>18</v>
      </c>
      <c r="E168" s="2">
        <v>3.72</v>
      </c>
      <c r="F168" t="s">
        <v>15</v>
      </c>
      <c r="G168" t="s">
        <v>16</v>
      </c>
      <c r="H168" s="1">
        <v>45659.11041666667</v>
      </c>
      <c r="I168" t="s">
        <v>17</v>
      </c>
      <c r="J168" t="s">
        <v>13</v>
      </c>
      <c r="K168" s="10">
        <f>INT(tblDelivery[[#This Row],[order_time]])</f>
        <v>45659</v>
      </c>
      <c r="L168" s="8">
        <f>HOUR(tblDelivery[[#This Row],[order_time]])</f>
        <v>2</v>
      </c>
      <c r="M168">
        <f>IF(tblDelivery[[#This Row],[delivery_time_min]]&lt;=Time_Target,1,0)</f>
        <v>1</v>
      </c>
      <c r="N168" s="8">
        <f>IF(AND(COUNTBLANK(tblDelivery[[#This Row],[order_id]:[customer_zone]])=0,tblDelivery[[#This Row],[delivery_time_min]]&gt;0,tblDelivery[[#This Row],[distance_km]]&gt;0,tblDelivery[[#This Row],[route_length_km]]&gt;=tblDelivery[[#This Row],[distance_km]]*0.99,COUNTIFS(tblDelivery[order_id],tblDelivery[[#This Row],[order_id]])=1),1,0)</f>
        <v>1</v>
      </c>
      <c r="O168" s="8">
        <f>SUBTOTAL(103,tblDelivery[[#This Row],[order_id]])</f>
        <v>1</v>
      </c>
      <c r="P168" s="8" t="str" cm="1">
        <f t="array" ref="P168">_xlfn.IFS(tblDelivery[[#This Row],[distance_km]]&lt;2,"&lt; 2 km",tblDelivery[[#This Row],[distance_km]]&lt;5,"2 to 5 km",tblDelivery[[#This Row],[distance_km]]&lt;10,"5 to 10 km",TRUE,"10 km and above")</f>
        <v>2 to 5 km</v>
      </c>
      <c r="Q168" s="8" t="str" cm="1">
        <f t="array" ref="Q168">_xlfn.IFS(tblDelivery[[#This Row],[route_length_km]]&lt;2,"&lt;2 km",tblDelivery[[#This Row],[route_length_km]]&lt;5,"2 to 5 km",tblDelivery[[#This Row],[route_length_km]]&lt;10,"5 to 10 km",TRUE,"10 km and above")</f>
        <v>2 to 5 km</v>
      </c>
      <c r="T168" s="8"/>
    </row>
    <row r="169" spans="1:20" x14ac:dyDescent="0.25">
      <c r="A169" s="6">
        <v>168</v>
      </c>
      <c r="B169" s="2">
        <v>8.14</v>
      </c>
      <c r="C169" s="8">
        <v>52.3</v>
      </c>
      <c r="D169" s="3" t="s">
        <v>10</v>
      </c>
      <c r="E169" s="2">
        <v>9.5299999999999994</v>
      </c>
      <c r="F169" t="s">
        <v>15</v>
      </c>
      <c r="G169" t="s">
        <v>12</v>
      </c>
      <c r="H169" s="1">
        <v>45659.643750000003</v>
      </c>
      <c r="I169" t="s">
        <v>21</v>
      </c>
      <c r="J169" t="s">
        <v>13</v>
      </c>
      <c r="K169" s="10">
        <f>INT(tblDelivery[[#This Row],[order_time]])</f>
        <v>45659</v>
      </c>
      <c r="L169" s="8">
        <f>HOUR(tblDelivery[[#This Row],[order_time]])</f>
        <v>15</v>
      </c>
      <c r="M169">
        <f>IF(tblDelivery[[#This Row],[delivery_time_min]]&lt;=Time_Target,1,0)</f>
        <v>0</v>
      </c>
      <c r="N169" s="8">
        <f>IF(AND(COUNTBLANK(tblDelivery[[#This Row],[order_id]:[customer_zone]])=0,tblDelivery[[#This Row],[delivery_time_min]]&gt;0,tblDelivery[[#This Row],[distance_km]]&gt;0,tblDelivery[[#This Row],[route_length_km]]&gt;=tblDelivery[[#This Row],[distance_km]]*0.99,COUNTIFS(tblDelivery[order_id],tblDelivery[[#This Row],[order_id]])=1),1,0)</f>
        <v>1</v>
      </c>
      <c r="O169" s="8">
        <f>SUBTOTAL(103,tblDelivery[[#This Row],[order_id]])</f>
        <v>1</v>
      </c>
      <c r="P169" s="8" t="str" cm="1">
        <f t="array" ref="P169">_xlfn.IFS(tblDelivery[[#This Row],[distance_km]]&lt;2,"&lt; 2 km",tblDelivery[[#This Row],[distance_km]]&lt;5,"2 to 5 km",tblDelivery[[#This Row],[distance_km]]&lt;10,"5 to 10 km",TRUE,"10 km and above")</f>
        <v>5 to 10 km</v>
      </c>
      <c r="Q169" s="8" t="str" cm="1">
        <f t="array" ref="Q169">_xlfn.IFS(tblDelivery[[#This Row],[route_length_km]]&lt;2,"&lt;2 km",tblDelivery[[#This Row],[route_length_km]]&lt;5,"2 to 5 km",tblDelivery[[#This Row],[route_length_km]]&lt;10,"5 to 10 km",TRUE,"10 km and above")</f>
        <v>5 to 10 km</v>
      </c>
      <c r="T169" s="8"/>
    </row>
    <row r="170" spans="1:20" x14ac:dyDescent="0.25">
      <c r="A170" s="6">
        <v>169</v>
      </c>
      <c r="B170" s="2">
        <v>10.35</v>
      </c>
      <c r="C170" s="8">
        <v>51.1</v>
      </c>
      <c r="D170" s="3" t="s">
        <v>10</v>
      </c>
      <c r="E170" s="2">
        <v>12.72</v>
      </c>
      <c r="F170" t="s">
        <v>11</v>
      </c>
      <c r="G170" t="s">
        <v>12</v>
      </c>
      <c r="H170" s="1">
        <v>45660.551388888889</v>
      </c>
      <c r="I170" t="s">
        <v>13</v>
      </c>
      <c r="J170" t="s">
        <v>21</v>
      </c>
      <c r="K170" s="10">
        <f>INT(tblDelivery[[#This Row],[order_time]])</f>
        <v>45660</v>
      </c>
      <c r="L170" s="8">
        <f>HOUR(tblDelivery[[#This Row],[order_time]])</f>
        <v>13</v>
      </c>
      <c r="M170">
        <f>IF(tblDelivery[[#This Row],[delivery_time_min]]&lt;=Time_Target,1,0)</f>
        <v>0</v>
      </c>
      <c r="N170" s="8">
        <f>IF(AND(COUNTBLANK(tblDelivery[[#This Row],[order_id]:[customer_zone]])=0,tblDelivery[[#This Row],[delivery_time_min]]&gt;0,tblDelivery[[#This Row],[distance_km]]&gt;0,tblDelivery[[#This Row],[route_length_km]]&gt;=tblDelivery[[#This Row],[distance_km]]*0.99,COUNTIFS(tblDelivery[order_id],tblDelivery[[#This Row],[order_id]])=1),1,0)</f>
        <v>1</v>
      </c>
      <c r="O170" s="8">
        <f>SUBTOTAL(103,tblDelivery[[#This Row],[order_id]])</f>
        <v>1</v>
      </c>
      <c r="P170" s="8" t="str" cm="1">
        <f t="array" ref="P170">_xlfn.IFS(tblDelivery[[#This Row],[distance_km]]&lt;2,"&lt; 2 km",tblDelivery[[#This Row],[distance_km]]&lt;5,"2 to 5 km",tblDelivery[[#This Row],[distance_km]]&lt;10,"5 to 10 km",TRUE,"10 km and above")</f>
        <v>10 km and above</v>
      </c>
      <c r="Q170" s="8" t="str" cm="1">
        <f t="array" ref="Q170">_xlfn.IFS(tblDelivery[[#This Row],[route_length_km]]&lt;2,"&lt;2 km",tblDelivery[[#This Row],[route_length_km]]&lt;5,"2 to 5 km",tblDelivery[[#This Row],[route_length_km]]&lt;10,"5 to 10 km",TRUE,"10 km and above")</f>
        <v>10 km and above</v>
      </c>
      <c r="T170" s="8"/>
    </row>
    <row r="171" spans="1:20" x14ac:dyDescent="0.25">
      <c r="A171" s="6">
        <v>170</v>
      </c>
      <c r="B171" s="2">
        <v>5.85</v>
      </c>
      <c r="C171" s="8">
        <v>30.4</v>
      </c>
      <c r="D171" s="3" t="s">
        <v>18</v>
      </c>
      <c r="E171" s="2">
        <v>6.48</v>
      </c>
      <c r="F171" t="s">
        <v>19</v>
      </c>
      <c r="G171" t="s">
        <v>12</v>
      </c>
      <c r="H171" s="1">
        <v>45659.325694444444</v>
      </c>
      <c r="I171" t="s">
        <v>13</v>
      </c>
      <c r="J171" t="s">
        <v>13</v>
      </c>
      <c r="K171" s="10">
        <f>INT(tblDelivery[[#This Row],[order_time]])</f>
        <v>45659</v>
      </c>
      <c r="L171" s="8">
        <f>HOUR(tblDelivery[[#This Row],[order_time]])</f>
        <v>7</v>
      </c>
      <c r="M171">
        <f>IF(tblDelivery[[#This Row],[delivery_time_min]]&lt;=Time_Target,1,0)</f>
        <v>1</v>
      </c>
      <c r="N171" s="8">
        <f>IF(AND(COUNTBLANK(tblDelivery[[#This Row],[order_id]:[customer_zone]])=0,tblDelivery[[#This Row],[delivery_time_min]]&gt;0,tblDelivery[[#This Row],[distance_km]]&gt;0,tblDelivery[[#This Row],[route_length_km]]&gt;=tblDelivery[[#This Row],[distance_km]]*0.99,COUNTIFS(tblDelivery[order_id],tblDelivery[[#This Row],[order_id]])=1),1,0)</f>
        <v>1</v>
      </c>
      <c r="O171" s="8">
        <f>SUBTOTAL(103,tblDelivery[[#This Row],[order_id]])</f>
        <v>1</v>
      </c>
      <c r="P171" s="8" t="str" cm="1">
        <f t="array" ref="P171">_xlfn.IFS(tblDelivery[[#This Row],[distance_km]]&lt;2,"&lt; 2 km",tblDelivery[[#This Row],[distance_km]]&lt;5,"2 to 5 km",tblDelivery[[#This Row],[distance_km]]&lt;10,"5 to 10 km",TRUE,"10 km and above")</f>
        <v>5 to 10 km</v>
      </c>
      <c r="Q171" s="8" t="str" cm="1">
        <f t="array" ref="Q171">_xlfn.IFS(tblDelivery[[#This Row],[route_length_km]]&lt;2,"&lt;2 km",tblDelivery[[#This Row],[route_length_km]]&lt;5,"2 to 5 km",tblDelivery[[#This Row],[route_length_km]]&lt;10,"5 to 10 km",TRUE,"10 km and above")</f>
        <v>5 to 10 km</v>
      </c>
      <c r="T171" s="8"/>
    </row>
    <row r="172" spans="1:20" x14ac:dyDescent="0.25">
      <c r="A172" s="6">
        <v>171</v>
      </c>
      <c r="B172" s="2">
        <v>11.41</v>
      </c>
      <c r="C172" s="8">
        <v>89</v>
      </c>
      <c r="D172" s="3" t="s">
        <v>22</v>
      </c>
      <c r="E172" s="2">
        <v>12.98</v>
      </c>
      <c r="F172" t="s">
        <v>11</v>
      </c>
      <c r="G172" t="s">
        <v>16</v>
      </c>
      <c r="H172" s="1">
        <v>45659.125694444447</v>
      </c>
      <c r="I172" t="s">
        <v>21</v>
      </c>
      <c r="J172" t="s">
        <v>25</v>
      </c>
      <c r="K172" s="10">
        <f>INT(tblDelivery[[#This Row],[order_time]])</f>
        <v>45659</v>
      </c>
      <c r="L172" s="8">
        <f>HOUR(tblDelivery[[#This Row],[order_time]])</f>
        <v>3</v>
      </c>
      <c r="M172">
        <f>IF(tblDelivery[[#This Row],[delivery_time_min]]&lt;=Time_Target,1,0)</f>
        <v>0</v>
      </c>
      <c r="N172" s="8">
        <f>IF(AND(COUNTBLANK(tblDelivery[[#This Row],[order_id]:[customer_zone]])=0,tblDelivery[[#This Row],[delivery_time_min]]&gt;0,tblDelivery[[#This Row],[distance_km]]&gt;0,tblDelivery[[#This Row],[route_length_km]]&gt;=tblDelivery[[#This Row],[distance_km]]*0.99,COUNTIFS(tblDelivery[order_id],tblDelivery[[#This Row],[order_id]])=1),1,0)</f>
        <v>1</v>
      </c>
      <c r="O172" s="8">
        <f>SUBTOTAL(103,tblDelivery[[#This Row],[order_id]])</f>
        <v>1</v>
      </c>
      <c r="P172" s="8" t="str" cm="1">
        <f t="array" ref="P172">_xlfn.IFS(tblDelivery[[#This Row],[distance_km]]&lt;2,"&lt; 2 km",tblDelivery[[#This Row],[distance_km]]&lt;5,"2 to 5 km",tblDelivery[[#This Row],[distance_km]]&lt;10,"5 to 10 km",TRUE,"10 km and above")</f>
        <v>10 km and above</v>
      </c>
      <c r="Q172" s="8" t="str" cm="1">
        <f t="array" ref="Q172">_xlfn.IFS(tblDelivery[[#This Row],[route_length_km]]&lt;2,"&lt;2 km",tblDelivery[[#This Row],[route_length_km]]&lt;5,"2 to 5 km",tblDelivery[[#This Row],[route_length_km]]&lt;10,"5 to 10 km",TRUE,"10 km and above")</f>
        <v>10 km and above</v>
      </c>
      <c r="T172" s="8"/>
    </row>
    <row r="173" spans="1:20" x14ac:dyDescent="0.25">
      <c r="A173" s="6">
        <v>172</v>
      </c>
      <c r="B173" s="2">
        <v>11.16</v>
      </c>
      <c r="C173" s="8">
        <v>73</v>
      </c>
      <c r="D173" s="3" t="s">
        <v>10</v>
      </c>
      <c r="E173" s="2">
        <v>13.63</v>
      </c>
      <c r="F173" t="s">
        <v>23</v>
      </c>
      <c r="G173" t="s">
        <v>16</v>
      </c>
      <c r="H173" s="1">
        <v>45661.486805555556</v>
      </c>
      <c r="I173" t="s">
        <v>25</v>
      </c>
      <c r="J173" t="s">
        <v>13</v>
      </c>
      <c r="K173" s="10">
        <f>INT(tblDelivery[[#This Row],[order_time]])</f>
        <v>45661</v>
      </c>
      <c r="L173" s="8">
        <f>HOUR(tblDelivery[[#This Row],[order_time]])</f>
        <v>11</v>
      </c>
      <c r="M173">
        <f>IF(tblDelivery[[#This Row],[delivery_time_min]]&lt;=Time_Target,1,0)</f>
        <v>0</v>
      </c>
      <c r="N173" s="8">
        <f>IF(AND(COUNTBLANK(tblDelivery[[#This Row],[order_id]:[customer_zone]])=0,tblDelivery[[#This Row],[delivery_time_min]]&gt;0,tblDelivery[[#This Row],[distance_km]]&gt;0,tblDelivery[[#This Row],[route_length_km]]&gt;=tblDelivery[[#This Row],[distance_km]]*0.99,COUNTIFS(tblDelivery[order_id],tblDelivery[[#This Row],[order_id]])=1),1,0)</f>
        <v>1</v>
      </c>
      <c r="O173" s="8">
        <f>SUBTOTAL(103,tblDelivery[[#This Row],[order_id]])</f>
        <v>1</v>
      </c>
      <c r="P173" s="8" t="str" cm="1">
        <f t="array" ref="P173">_xlfn.IFS(tblDelivery[[#This Row],[distance_km]]&lt;2,"&lt; 2 km",tblDelivery[[#This Row],[distance_km]]&lt;5,"2 to 5 km",tblDelivery[[#This Row],[distance_km]]&lt;10,"5 to 10 km",TRUE,"10 km and above")</f>
        <v>10 km and above</v>
      </c>
      <c r="Q173" s="8" t="str" cm="1">
        <f t="array" ref="Q173">_xlfn.IFS(tblDelivery[[#This Row],[route_length_km]]&lt;2,"&lt;2 km",tblDelivery[[#This Row],[route_length_km]]&lt;5,"2 to 5 km",tblDelivery[[#This Row],[route_length_km]]&lt;10,"5 to 10 km",TRUE,"10 km and above")</f>
        <v>10 km and above</v>
      </c>
      <c r="T173" s="8"/>
    </row>
    <row r="174" spans="1:20" x14ac:dyDescent="0.25">
      <c r="A174" s="6">
        <v>173</v>
      </c>
      <c r="B174" s="2">
        <v>3.17</v>
      </c>
      <c r="C174" s="8">
        <v>27.2</v>
      </c>
      <c r="D174" s="3" t="s">
        <v>18</v>
      </c>
      <c r="E174" s="2">
        <v>4.09</v>
      </c>
      <c r="F174" t="s">
        <v>19</v>
      </c>
      <c r="G174" t="s">
        <v>16</v>
      </c>
      <c r="H174" s="1">
        <v>45661.489583333336</v>
      </c>
      <c r="I174" t="s">
        <v>25</v>
      </c>
      <c r="J174" t="s">
        <v>21</v>
      </c>
      <c r="K174" s="10">
        <f>INT(tblDelivery[[#This Row],[order_time]])</f>
        <v>45661</v>
      </c>
      <c r="L174" s="8">
        <f>HOUR(tblDelivery[[#This Row],[order_time]])</f>
        <v>11</v>
      </c>
      <c r="M174">
        <f>IF(tblDelivery[[#This Row],[delivery_time_min]]&lt;=Time_Target,1,0)</f>
        <v>1</v>
      </c>
      <c r="N174" s="8">
        <f>IF(AND(COUNTBLANK(tblDelivery[[#This Row],[order_id]:[customer_zone]])=0,tblDelivery[[#This Row],[delivery_time_min]]&gt;0,tblDelivery[[#This Row],[distance_km]]&gt;0,tblDelivery[[#This Row],[route_length_km]]&gt;=tblDelivery[[#This Row],[distance_km]]*0.99,COUNTIFS(tblDelivery[order_id],tblDelivery[[#This Row],[order_id]])=1),1,0)</f>
        <v>1</v>
      </c>
      <c r="O174" s="8">
        <f>SUBTOTAL(103,tblDelivery[[#This Row],[order_id]])</f>
        <v>1</v>
      </c>
      <c r="P174" s="8" t="str" cm="1">
        <f t="array" ref="P174">_xlfn.IFS(tblDelivery[[#This Row],[distance_km]]&lt;2,"&lt; 2 km",tblDelivery[[#This Row],[distance_km]]&lt;5,"2 to 5 km",tblDelivery[[#This Row],[distance_km]]&lt;10,"5 to 10 km",TRUE,"10 km and above")</f>
        <v>2 to 5 km</v>
      </c>
      <c r="Q174" s="8" t="str" cm="1">
        <f t="array" ref="Q174">_xlfn.IFS(tblDelivery[[#This Row],[route_length_km]]&lt;2,"&lt;2 km",tblDelivery[[#This Row],[route_length_km]]&lt;5,"2 to 5 km",tblDelivery[[#This Row],[route_length_km]]&lt;10,"5 to 10 km",TRUE,"10 km and above")</f>
        <v>2 to 5 km</v>
      </c>
      <c r="T174" s="8"/>
    </row>
    <row r="175" spans="1:20" x14ac:dyDescent="0.25">
      <c r="A175" s="6">
        <v>174</v>
      </c>
      <c r="B175" s="2">
        <v>4.3600000000000003</v>
      </c>
      <c r="C175" s="8">
        <v>25</v>
      </c>
      <c r="D175" s="3" t="s">
        <v>18</v>
      </c>
      <c r="E175" s="2">
        <v>6.19</v>
      </c>
      <c r="F175" t="s">
        <v>15</v>
      </c>
      <c r="G175" t="s">
        <v>20</v>
      </c>
      <c r="H175" s="1">
        <v>45660.581944444442</v>
      </c>
      <c r="I175" t="s">
        <v>25</v>
      </c>
      <c r="J175" t="s">
        <v>21</v>
      </c>
      <c r="K175" s="10">
        <f>INT(tblDelivery[[#This Row],[order_time]])</f>
        <v>45660</v>
      </c>
      <c r="L175" s="8">
        <f>HOUR(tblDelivery[[#This Row],[order_time]])</f>
        <v>13</v>
      </c>
      <c r="M175">
        <f>IF(tblDelivery[[#This Row],[delivery_time_min]]&lt;=Time_Target,1,0)</f>
        <v>1</v>
      </c>
      <c r="N175" s="8">
        <f>IF(AND(COUNTBLANK(tblDelivery[[#This Row],[order_id]:[customer_zone]])=0,tblDelivery[[#This Row],[delivery_time_min]]&gt;0,tblDelivery[[#This Row],[distance_km]]&gt;0,tblDelivery[[#This Row],[route_length_km]]&gt;=tblDelivery[[#This Row],[distance_km]]*0.99,COUNTIFS(tblDelivery[order_id],tblDelivery[[#This Row],[order_id]])=1),1,0)</f>
        <v>1</v>
      </c>
      <c r="O175" s="8">
        <f>SUBTOTAL(103,tblDelivery[[#This Row],[order_id]])</f>
        <v>1</v>
      </c>
      <c r="P175" s="8" t="str" cm="1">
        <f t="array" ref="P175">_xlfn.IFS(tblDelivery[[#This Row],[distance_km]]&lt;2,"&lt; 2 km",tblDelivery[[#This Row],[distance_km]]&lt;5,"2 to 5 km",tblDelivery[[#This Row],[distance_km]]&lt;10,"5 to 10 km",TRUE,"10 km and above")</f>
        <v>2 to 5 km</v>
      </c>
      <c r="Q175" s="8" t="str" cm="1">
        <f t="array" ref="Q175">_xlfn.IFS(tblDelivery[[#This Row],[route_length_km]]&lt;2,"&lt;2 km",tblDelivery[[#This Row],[route_length_km]]&lt;5,"2 to 5 km",tblDelivery[[#This Row],[route_length_km]]&lt;10,"5 to 10 km",TRUE,"10 km and above")</f>
        <v>5 to 10 km</v>
      </c>
      <c r="T175" s="8"/>
    </row>
    <row r="176" spans="1:20" x14ac:dyDescent="0.25">
      <c r="A176" s="6">
        <v>175</v>
      </c>
      <c r="B176" s="2">
        <v>3.88</v>
      </c>
      <c r="C176" s="8">
        <v>30.2</v>
      </c>
      <c r="D176" s="3" t="s">
        <v>18</v>
      </c>
      <c r="E176" s="2">
        <v>5.15</v>
      </c>
      <c r="F176" t="s">
        <v>11</v>
      </c>
      <c r="G176" t="s">
        <v>16</v>
      </c>
      <c r="H176" s="1">
        <v>45660.42291666667</v>
      </c>
      <c r="I176" t="s">
        <v>13</v>
      </c>
      <c r="J176" t="s">
        <v>14</v>
      </c>
      <c r="K176" s="10">
        <f>INT(tblDelivery[[#This Row],[order_time]])</f>
        <v>45660</v>
      </c>
      <c r="L176" s="8">
        <f>HOUR(tblDelivery[[#This Row],[order_time]])</f>
        <v>10</v>
      </c>
      <c r="M176">
        <f>IF(tblDelivery[[#This Row],[delivery_time_min]]&lt;=Time_Target,1,0)</f>
        <v>1</v>
      </c>
      <c r="N176" s="8">
        <f>IF(AND(COUNTBLANK(tblDelivery[[#This Row],[order_id]:[customer_zone]])=0,tblDelivery[[#This Row],[delivery_time_min]]&gt;0,tblDelivery[[#This Row],[distance_km]]&gt;0,tblDelivery[[#This Row],[route_length_km]]&gt;=tblDelivery[[#This Row],[distance_km]]*0.99,COUNTIFS(tblDelivery[order_id],tblDelivery[[#This Row],[order_id]])=1),1,0)</f>
        <v>1</v>
      </c>
      <c r="O176" s="8">
        <f>SUBTOTAL(103,tblDelivery[[#This Row],[order_id]])</f>
        <v>1</v>
      </c>
      <c r="P176" s="8" t="str" cm="1">
        <f t="array" ref="P176">_xlfn.IFS(tblDelivery[[#This Row],[distance_km]]&lt;2,"&lt; 2 km",tblDelivery[[#This Row],[distance_km]]&lt;5,"2 to 5 km",tblDelivery[[#This Row],[distance_km]]&lt;10,"5 to 10 km",TRUE,"10 km and above")</f>
        <v>2 to 5 km</v>
      </c>
      <c r="Q176" s="8" t="str" cm="1">
        <f t="array" ref="Q176">_xlfn.IFS(tblDelivery[[#This Row],[route_length_km]]&lt;2,"&lt;2 km",tblDelivery[[#This Row],[route_length_km]]&lt;5,"2 to 5 km",tblDelivery[[#This Row],[route_length_km]]&lt;10,"5 to 10 km",TRUE,"10 km and above")</f>
        <v>5 to 10 km</v>
      </c>
      <c r="T176" s="8"/>
    </row>
    <row r="177" spans="1:20" x14ac:dyDescent="0.25">
      <c r="A177" s="6">
        <v>176</v>
      </c>
      <c r="B177" s="2">
        <v>2.88</v>
      </c>
      <c r="C177" s="8">
        <v>15.5</v>
      </c>
      <c r="D177" s="3" t="s">
        <v>10</v>
      </c>
      <c r="E177" s="2">
        <v>3.66</v>
      </c>
      <c r="F177" t="s">
        <v>19</v>
      </c>
      <c r="G177" t="s">
        <v>24</v>
      </c>
      <c r="H177" s="1">
        <v>45659.299305555556</v>
      </c>
      <c r="I177" t="s">
        <v>13</v>
      </c>
      <c r="J177" t="s">
        <v>13</v>
      </c>
      <c r="K177" s="10">
        <f>INT(tblDelivery[[#This Row],[order_time]])</f>
        <v>45659</v>
      </c>
      <c r="L177" s="8">
        <f>HOUR(tblDelivery[[#This Row],[order_time]])</f>
        <v>7</v>
      </c>
      <c r="M177">
        <f>IF(tblDelivery[[#This Row],[delivery_time_min]]&lt;=Time_Target,1,0)</f>
        <v>1</v>
      </c>
      <c r="N177" s="8">
        <f>IF(AND(COUNTBLANK(tblDelivery[[#This Row],[order_id]:[customer_zone]])=0,tblDelivery[[#This Row],[delivery_time_min]]&gt;0,tblDelivery[[#This Row],[distance_km]]&gt;0,tblDelivery[[#This Row],[route_length_km]]&gt;=tblDelivery[[#This Row],[distance_km]]*0.99,COUNTIFS(tblDelivery[order_id],tblDelivery[[#This Row],[order_id]])=1),1,0)</f>
        <v>1</v>
      </c>
      <c r="O177" s="8">
        <f>SUBTOTAL(103,tblDelivery[[#This Row],[order_id]])</f>
        <v>1</v>
      </c>
      <c r="P177" s="8" t="str" cm="1">
        <f t="array" ref="P177">_xlfn.IFS(tblDelivery[[#This Row],[distance_km]]&lt;2,"&lt; 2 km",tblDelivery[[#This Row],[distance_km]]&lt;5,"2 to 5 km",tblDelivery[[#This Row],[distance_km]]&lt;10,"5 to 10 km",TRUE,"10 km and above")</f>
        <v>2 to 5 km</v>
      </c>
      <c r="Q177" s="8" t="str" cm="1">
        <f t="array" ref="Q177">_xlfn.IFS(tblDelivery[[#This Row],[route_length_km]]&lt;2,"&lt;2 km",tblDelivery[[#This Row],[route_length_km]]&lt;5,"2 to 5 km",tblDelivery[[#This Row],[route_length_km]]&lt;10,"5 to 10 km",TRUE,"10 km and above")</f>
        <v>2 to 5 km</v>
      </c>
      <c r="T177" s="8"/>
    </row>
    <row r="178" spans="1:20" x14ac:dyDescent="0.25">
      <c r="A178" s="6">
        <v>177</v>
      </c>
      <c r="B178" s="2">
        <v>9.59</v>
      </c>
      <c r="C178" s="8">
        <v>79.400000000000006</v>
      </c>
      <c r="D178" s="3" t="s">
        <v>10</v>
      </c>
      <c r="E178" s="2">
        <v>11.98</v>
      </c>
      <c r="F178" t="s">
        <v>23</v>
      </c>
      <c r="G178" t="s">
        <v>24</v>
      </c>
      <c r="H178" s="1">
        <v>45661.53125</v>
      </c>
      <c r="I178" t="s">
        <v>13</v>
      </c>
      <c r="J178" t="s">
        <v>17</v>
      </c>
      <c r="K178" s="10">
        <f>INT(tblDelivery[[#This Row],[order_time]])</f>
        <v>45661</v>
      </c>
      <c r="L178" s="8">
        <f>HOUR(tblDelivery[[#This Row],[order_time]])</f>
        <v>12</v>
      </c>
      <c r="M178">
        <f>IF(tblDelivery[[#This Row],[delivery_time_min]]&lt;=Time_Target,1,0)</f>
        <v>0</v>
      </c>
      <c r="N178" s="8">
        <f>IF(AND(COUNTBLANK(tblDelivery[[#This Row],[order_id]:[customer_zone]])=0,tblDelivery[[#This Row],[delivery_time_min]]&gt;0,tblDelivery[[#This Row],[distance_km]]&gt;0,tblDelivery[[#This Row],[route_length_km]]&gt;=tblDelivery[[#This Row],[distance_km]]*0.99,COUNTIFS(tblDelivery[order_id],tblDelivery[[#This Row],[order_id]])=1),1,0)</f>
        <v>1</v>
      </c>
      <c r="O178" s="8">
        <f>SUBTOTAL(103,tblDelivery[[#This Row],[order_id]])</f>
        <v>1</v>
      </c>
      <c r="P178" s="8" t="str" cm="1">
        <f t="array" ref="P178">_xlfn.IFS(tblDelivery[[#This Row],[distance_km]]&lt;2,"&lt; 2 km",tblDelivery[[#This Row],[distance_km]]&lt;5,"2 to 5 km",tblDelivery[[#This Row],[distance_km]]&lt;10,"5 to 10 km",TRUE,"10 km and above")</f>
        <v>5 to 10 km</v>
      </c>
      <c r="Q178" s="8" t="str" cm="1">
        <f t="array" ref="Q178">_xlfn.IFS(tblDelivery[[#This Row],[route_length_km]]&lt;2,"&lt;2 km",tblDelivery[[#This Row],[route_length_km]]&lt;5,"2 to 5 km",tblDelivery[[#This Row],[route_length_km]]&lt;10,"5 to 10 km",TRUE,"10 km and above")</f>
        <v>10 km and above</v>
      </c>
      <c r="T178" s="8"/>
    </row>
    <row r="179" spans="1:20" x14ac:dyDescent="0.25">
      <c r="A179" s="6">
        <v>178</v>
      </c>
      <c r="B179" s="2">
        <v>7.51</v>
      </c>
      <c r="C179" s="8">
        <v>71.400000000000006</v>
      </c>
      <c r="D179" s="3" t="s">
        <v>22</v>
      </c>
      <c r="E179" s="2">
        <v>10.76</v>
      </c>
      <c r="F179" t="s">
        <v>23</v>
      </c>
      <c r="G179" t="s">
        <v>12</v>
      </c>
      <c r="H179" s="1">
        <v>45660.818749999999</v>
      </c>
      <c r="I179" t="s">
        <v>25</v>
      </c>
      <c r="J179" t="s">
        <v>14</v>
      </c>
      <c r="K179" s="10">
        <f>INT(tblDelivery[[#This Row],[order_time]])</f>
        <v>45660</v>
      </c>
      <c r="L179" s="8">
        <f>HOUR(tblDelivery[[#This Row],[order_time]])</f>
        <v>19</v>
      </c>
      <c r="M179">
        <f>IF(tblDelivery[[#This Row],[delivery_time_min]]&lt;=Time_Target,1,0)</f>
        <v>0</v>
      </c>
      <c r="N179" s="8">
        <f>IF(AND(COUNTBLANK(tblDelivery[[#This Row],[order_id]:[customer_zone]])=0,tblDelivery[[#This Row],[delivery_time_min]]&gt;0,tblDelivery[[#This Row],[distance_km]]&gt;0,tblDelivery[[#This Row],[route_length_km]]&gt;=tblDelivery[[#This Row],[distance_km]]*0.99,COUNTIFS(tblDelivery[order_id],tblDelivery[[#This Row],[order_id]])=1),1,0)</f>
        <v>1</v>
      </c>
      <c r="O179" s="8">
        <f>SUBTOTAL(103,tblDelivery[[#This Row],[order_id]])</f>
        <v>1</v>
      </c>
      <c r="P179" s="8" t="str" cm="1">
        <f t="array" ref="P179">_xlfn.IFS(tblDelivery[[#This Row],[distance_km]]&lt;2,"&lt; 2 km",tblDelivery[[#This Row],[distance_km]]&lt;5,"2 to 5 km",tblDelivery[[#This Row],[distance_km]]&lt;10,"5 to 10 km",TRUE,"10 km and above")</f>
        <v>5 to 10 km</v>
      </c>
      <c r="Q179" s="8" t="str" cm="1">
        <f t="array" ref="Q179">_xlfn.IFS(tblDelivery[[#This Row],[route_length_km]]&lt;2,"&lt;2 km",tblDelivery[[#This Row],[route_length_km]]&lt;5,"2 to 5 km",tblDelivery[[#This Row],[route_length_km]]&lt;10,"5 to 10 km",TRUE,"10 km and above")</f>
        <v>10 km and above</v>
      </c>
      <c r="T179" s="8"/>
    </row>
    <row r="180" spans="1:20" x14ac:dyDescent="0.25">
      <c r="A180" s="6">
        <v>179</v>
      </c>
      <c r="B180" s="2">
        <v>11.72</v>
      </c>
      <c r="C180" s="8">
        <v>74.900000000000006</v>
      </c>
      <c r="D180" s="3" t="s">
        <v>10</v>
      </c>
      <c r="E180" s="2">
        <v>15.17</v>
      </c>
      <c r="F180" t="s">
        <v>23</v>
      </c>
      <c r="G180" t="s">
        <v>20</v>
      </c>
      <c r="H180" s="1">
        <v>45660.71597222222</v>
      </c>
      <c r="I180" t="s">
        <v>13</v>
      </c>
      <c r="J180" t="s">
        <v>17</v>
      </c>
      <c r="K180" s="10">
        <f>INT(tblDelivery[[#This Row],[order_time]])</f>
        <v>45660</v>
      </c>
      <c r="L180" s="8">
        <f>HOUR(tblDelivery[[#This Row],[order_time]])</f>
        <v>17</v>
      </c>
      <c r="M180">
        <f>IF(tblDelivery[[#This Row],[delivery_time_min]]&lt;=Time_Target,1,0)</f>
        <v>0</v>
      </c>
      <c r="N180" s="8">
        <f>IF(AND(COUNTBLANK(tblDelivery[[#This Row],[order_id]:[customer_zone]])=0,tblDelivery[[#This Row],[delivery_time_min]]&gt;0,tblDelivery[[#This Row],[distance_km]]&gt;0,tblDelivery[[#This Row],[route_length_km]]&gt;=tblDelivery[[#This Row],[distance_km]]*0.99,COUNTIFS(tblDelivery[order_id],tblDelivery[[#This Row],[order_id]])=1),1,0)</f>
        <v>1</v>
      </c>
      <c r="O180" s="8">
        <f>SUBTOTAL(103,tblDelivery[[#This Row],[order_id]])</f>
        <v>1</v>
      </c>
      <c r="P180" s="8" t="str" cm="1">
        <f t="array" ref="P180">_xlfn.IFS(tblDelivery[[#This Row],[distance_km]]&lt;2,"&lt; 2 km",tblDelivery[[#This Row],[distance_km]]&lt;5,"2 to 5 km",tblDelivery[[#This Row],[distance_km]]&lt;10,"5 to 10 km",TRUE,"10 km and above")</f>
        <v>10 km and above</v>
      </c>
      <c r="Q180" s="8" t="str" cm="1">
        <f t="array" ref="Q180">_xlfn.IFS(tblDelivery[[#This Row],[route_length_km]]&lt;2,"&lt;2 km",tblDelivery[[#This Row],[route_length_km]]&lt;5,"2 to 5 km",tblDelivery[[#This Row],[route_length_km]]&lt;10,"5 to 10 km",TRUE,"10 km and above")</f>
        <v>10 km and above</v>
      </c>
      <c r="T180" s="8"/>
    </row>
    <row r="181" spans="1:20" x14ac:dyDescent="0.25">
      <c r="A181" s="6">
        <v>180</v>
      </c>
      <c r="B181" s="2">
        <v>4.75</v>
      </c>
      <c r="C181" s="8">
        <v>24.5</v>
      </c>
      <c r="D181" s="3" t="s">
        <v>10</v>
      </c>
      <c r="E181" s="2">
        <v>5.78</v>
      </c>
      <c r="F181" t="s">
        <v>15</v>
      </c>
      <c r="G181" t="s">
        <v>12</v>
      </c>
      <c r="H181" s="1">
        <v>45660.23333333333</v>
      </c>
      <c r="I181" t="s">
        <v>13</v>
      </c>
      <c r="J181" t="s">
        <v>25</v>
      </c>
      <c r="K181" s="10">
        <f>INT(tblDelivery[[#This Row],[order_time]])</f>
        <v>45660</v>
      </c>
      <c r="L181" s="8">
        <f>HOUR(tblDelivery[[#This Row],[order_time]])</f>
        <v>5</v>
      </c>
      <c r="M181">
        <f>IF(tblDelivery[[#This Row],[delivery_time_min]]&lt;=Time_Target,1,0)</f>
        <v>1</v>
      </c>
      <c r="N181" s="8">
        <f>IF(AND(COUNTBLANK(tblDelivery[[#This Row],[order_id]:[customer_zone]])=0,tblDelivery[[#This Row],[delivery_time_min]]&gt;0,tblDelivery[[#This Row],[distance_km]]&gt;0,tblDelivery[[#This Row],[route_length_km]]&gt;=tblDelivery[[#This Row],[distance_km]]*0.99,COUNTIFS(tblDelivery[order_id],tblDelivery[[#This Row],[order_id]])=1),1,0)</f>
        <v>1</v>
      </c>
      <c r="O181" s="8">
        <f>SUBTOTAL(103,tblDelivery[[#This Row],[order_id]])</f>
        <v>1</v>
      </c>
      <c r="P181" s="8" t="str" cm="1">
        <f t="array" ref="P181">_xlfn.IFS(tblDelivery[[#This Row],[distance_km]]&lt;2,"&lt; 2 km",tblDelivery[[#This Row],[distance_km]]&lt;5,"2 to 5 km",tblDelivery[[#This Row],[distance_km]]&lt;10,"5 to 10 km",TRUE,"10 km and above")</f>
        <v>2 to 5 km</v>
      </c>
      <c r="Q181" s="8" t="str" cm="1">
        <f t="array" ref="Q181">_xlfn.IFS(tblDelivery[[#This Row],[route_length_km]]&lt;2,"&lt;2 km",tblDelivery[[#This Row],[route_length_km]]&lt;5,"2 to 5 km",tblDelivery[[#This Row],[route_length_km]]&lt;10,"5 to 10 km",TRUE,"10 km and above")</f>
        <v>5 to 10 km</v>
      </c>
      <c r="T181" s="8"/>
    </row>
    <row r="182" spans="1:20" x14ac:dyDescent="0.25">
      <c r="A182" s="6">
        <v>181</v>
      </c>
      <c r="B182" s="2">
        <v>10.38</v>
      </c>
      <c r="C182" s="8">
        <v>74.900000000000006</v>
      </c>
      <c r="D182" s="3" t="s">
        <v>10</v>
      </c>
      <c r="E182" s="2">
        <v>11.31</v>
      </c>
      <c r="F182" t="s">
        <v>19</v>
      </c>
      <c r="G182" t="s">
        <v>20</v>
      </c>
      <c r="H182" s="1">
        <v>45660.115277777775</v>
      </c>
      <c r="I182" t="s">
        <v>14</v>
      </c>
      <c r="J182" t="s">
        <v>21</v>
      </c>
      <c r="K182" s="10">
        <f>INT(tblDelivery[[#This Row],[order_time]])</f>
        <v>45660</v>
      </c>
      <c r="L182" s="8">
        <f>HOUR(tblDelivery[[#This Row],[order_time]])</f>
        <v>2</v>
      </c>
      <c r="M182">
        <f>IF(tblDelivery[[#This Row],[delivery_time_min]]&lt;=Time_Target,1,0)</f>
        <v>0</v>
      </c>
      <c r="N182" s="8">
        <f>IF(AND(COUNTBLANK(tblDelivery[[#This Row],[order_id]:[customer_zone]])=0,tblDelivery[[#This Row],[delivery_time_min]]&gt;0,tblDelivery[[#This Row],[distance_km]]&gt;0,tblDelivery[[#This Row],[route_length_km]]&gt;=tblDelivery[[#This Row],[distance_km]]*0.99,COUNTIFS(tblDelivery[order_id],tblDelivery[[#This Row],[order_id]])=1),1,0)</f>
        <v>1</v>
      </c>
      <c r="O182" s="8">
        <f>SUBTOTAL(103,tblDelivery[[#This Row],[order_id]])</f>
        <v>1</v>
      </c>
      <c r="P182" s="8" t="str" cm="1">
        <f t="array" ref="P182">_xlfn.IFS(tblDelivery[[#This Row],[distance_km]]&lt;2,"&lt; 2 km",tblDelivery[[#This Row],[distance_km]]&lt;5,"2 to 5 km",tblDelivery[[#This Row],[distance_km]]&lt;10,"5 to 10 km",TRUE,"10 km and above")</f>
        <v>10 km and above</v>
      </c>
      <c r="Q182" s="8" t="str" cm="1">
        <f t="array" ref="Q182">_xlfn.IFS(tblDelivery[[#This Row],[route_length_km]]&lt;2,"&lt;2 km",tblDelivery[[#This Row],[route_length_km]]&lt;5,"2 to 5 km",tblDelivery[[#This Row],[route_length_km]]&lt;10,"5 to 10 km",TRUE,"10 km and above")</f>
        <v>10 km and above</v>
      </c>
      <c r="T182" s="8"/>
    </row>
    <row r="183" spans="1:20" x14ac:dyDescent="0.25">
      <c r="A183" s="6">
        <v>182</v>
      </c>
      <c r="B183" s="2">
        <v>8.01</v>
      </c>
      <c r="C183" s="8">
        <v>56.3</v>
      </c>
      <c r="D183" s="3" t="s">
        <v>10</v>
      </c>
      <c r="E183" s="2">
        <v>8.56</v>
      </c>
      <c r="F183" t="s">
        <v>11</v>
      </c>
      <c r="G183" t="s">
        <v>20</v>
      </c>
      <c r="H183" s="1">
        <v>45658.86041666667</v>
      </c>
      <c r="I183" t="s">
        <v>25</v>
      </c>
      <c r="J183" t="s">
        <v>21</v>
      </c>
      <c r="K183" s="10">
        <f>INT(tblDelivery[[#This Row],[order_time]])</f>
        <v>45658</v>
      </c>
      <c r="L183" s="8">
        <f>HOUR(tblDelivery[[#This Row],[order_time]])</f>
        <v>20</v>
      </c>
      <c r="M183">
        <f>IF(tblDelivery[[#This Row],[delivery_time_min]]&lt;=Time_Target,1,0)</f>
        <v>0</v>
      </c>
      <c r="N183" s="8">
        <f>IF(AND(COUNTBLANK(tblDelivery[[#This Row],[order_id]:[customer_zone]])=0,tblDelivery[[#This Row],[delivery_time_min]]&gt;0,tblDelivery[[#This Row],[distance_km]]&gt;0,tblDelivery[[#This Row],[route_length_km]]&gt;=tblDelivery[[#This Row],[distance_km]]*0.99,COUNTIFS(tblDelivery[order_id],tblDelivery[[#This Row],[order_id]])=1),1,0)</f>
        <v>1</v>
      </c>
      <c r="O183" s="8">
        <f>SUBTOTAL(103,tblDelivery[[#This Row],[order_id]])</f>
        <v>1</v>
      </c>
      <c r="P183" s="8" t="str" cm="1">
        <f t="array" ref="P183">_xlfn.IFS(tblDelivery[[#This Row],[distance_km]]&lt;2,"&lt; 2 km",tblDelivery[[#This Row],[distance_km]]&lt;5,"2 to 5 km",tblDelivery[[#This Row],[distance_km]]&lt;10,"5 to 10 km",TRUE,"10 km and above")</f>
        <v>5 to 10 km</v>
      </c>
      <c r="Q183" s="8" t="str" cm="1">
        <f t="array" ref="Q183">_xlfn.IFS(tblDelivery[[#This Row],[route_length_km]]&lt;2,"&lt;2 km",tblDelivery[[#This Row],[route_length_km]]&lt;5,"2 to 5 km",tblDelivery[[#This Row],[route_length_km]]&lt;10,"5 to 10 km",TRUE,"10 km and above")</f>
        <v>5 to 10 km</v>
      </c>
      <c r="T183" s="8"/>
    </row>
    <row r="184" spans="1:20" x14ac:dyDescent="0.25">
      <c r="A184" s="6">
        <v>183</v>
      </c>
      <c r="B184" s="2">
        <v>9.68</v>
      </c>
      <c r="C184" s="8">
        <v>85.7</v>
      </c>
      <c r="D184" s="3" t="s">
        <v>22</v>
      </c>
      <c r="E184" s="2">
        <v>13.19</v>
      </c>
      <c r="F184" t="s">
        <v>15</v>
      </c>
      <c r="G184" t="s">
        <v>16</v>
      </c>
      <c r="H184" s="1">
        <v>45659.793749999997</v>
      </c>
      <c r="I184" t="s">
        <v>17</v>
      </c>
      <c r="J184" t="s">
        <v>13</v>
      </c>
      <c r="K184" s="10">
        <f>INT(tblDelivery[[#This Row],[order_time]])</f>
        <v>45659</v>
      </c>
      <c r="L184" s="8">
        <f>HOUR(tblDelivery[[#This Row],[order_time]])</f>
        <v>19</v>
      </c>
      <c r="M184">
        <f>IF(tblDelivery[[#This Row],[delivery_time_min]]&lt;=Time_Target,1,0)</f>
        <v>0</v>
      </c>
      <c r="N184" s="8">
        <f>IF(AND(COUNTBLANK(tblDelivery[[#This Row],[order_id]:[customer_zone]])=0,tblDelivery[[#This Row],[delivery_time_min]]&gt;0,tblDelivery[[#This Row],[distance_km]]&gt;0,tblDelivery[[#This Row],[route_length_km]]&gt;=tblDelivery[[#This Row],[distance_km]]*0.99,COUNTIFS(tblDelivery[order_id],tblDelivery[[#This Row],[order_id]])=1),1,0)</f>
        <v>1</v>
      </c>
      <c r="O184" s="8">
        <f>SUBTOTAL(103,tblDelivery[[#This Row],[order_id]])</f>
        <v>1</v>
      </c>
      <c r="P184" s="8" t="str" cm="1">
        <f t="array" ref="P184">_xlfn.IFS(tblDelivery[[#This Row],[distance_km]]&lt;2,"&lt; 2 km",tblDelivery[[#This Row],[distance_km]]&lt;5,"2 to 5 km",tblDelivery[[#This Row],[distance_km]]&lt;10,"5 to 10 km",TRUE,"10 km and above")</f>
        <v>5 to 10 km</v>
      </c>
      <c r="Q184" s="8" t="str" cm="1">
        <f t="array" ref="Q184">_xlfn.IFS(tblDelivery[[#This Row],[route_length_km]]&lt;2,"&lt;2 km",tblDelivery[[#This Row],[route_length_km]]&lt;5,"2 to 5 km",tblDelivery[[#This Row],[route_length_km]]&lt;10,"5 to 10 km",TRUE,"10 km and above")</f>
        <v>10 km and above</v>
      </c>
      <c r="T184" s="8"/>
    </row>
    <row r="185" spans="1:20" x14ac:dyDescent="0.25">
      <c r="A185" s="6">
        <v>184</v>
      </c>
      <c r="B185" s="2">
        <v>7.72</v>
      </c>
      <c r="C185" s="8">
        <v>44.1</v>
      </c>
      <c r="D185" s="3" t="s">
        <v>10</v>
      </c>
      <c r="E185" s="2">
        <v>10.3</v>
      </c>
      <c r="F185" t="s">
        <v>15</v>
      </c>
      <c r="G185" t="s">
        <v>12</v>
      </c>
      <c r="H185" s="1">
        <v>45659.104861111111</v>
      </c>
      <c r="I185" t="s">
        <v>17</v>
      </c>
      <c r="J185" t="s">
        <v>21</v>
      </c>
      <c r="K185" s="10">
        <f>INT(tblDelivery[[#This Row],[order_time]])</f>
        <v>45659</v>
      </c>
      <c r="L185" s="8">
        <f>HOUR(tblDelivery[[#This Row],[order_time]])</f>
        <v>2</v>
      </c>
      <c r="M185">
        <f>IF(tblDelivery[[#This Row],[delivery_time_min]]&lt;=Time_Target,1,0)</f>
        <v>1</v>
      </c>
      <c r="N185" s="8">
        <f>IF(AND(COUNTBLANK(tblDelivery[[#This Row],[order_id]:[customer_zone]])=0,tblDelivery[[#This Row],[delivery_time_min]]&gt;0,tblDelivery[[#This Row],[distance_km]]&gt;0,tblDelivery[[#This Row],[route_length_km]]&gt;=tblDelivery[[#This Row],[distance_km]]*0.99,COUNTIFS(tblDelivery[order_id],tblDelivery[[#This Row],[order_id]])=1),1,0)</f>
        <v>1</v>
      </c>
      <c r="O185" s="8">
        <f>SUBTOTAL(103,tblDelivery[[#This Row],[order_id]])</f>
        <v>1</v>
      </c>
      <c r="P185" s="8" t="str" cm="1">
        <f t="array" ref="P185">_xlfn.IFS(tblDelivery[[#This Row],[distance_km]]&lt;2,"&lt; 2 km",tblDelivery[[#This Row],[distance_km]]&lt;5,"2 to 5 km",tblDelivery[[#This Row],[distance_km]]&lt;10,"5 to 10 km",TRUE,"10 km and above")</f>
        <v>5 to 10 km</v>
      </c>
      <c r="Q185" s="8" t="str" cm="1">
        <f t="array" ref="Q185">_xlfn.IFS(tblDelivery[[#This Row],[route_length_km]]&lt;2,"&lt;2 km",tblDelivery[[#This Row],[route_length_km]]&lt;5,"2 to 5 km",tblDelivery[[#This Row],[route_length_km]]&lt;10,"5 to 10 km",TRUE,"10 km and above")</f>
        <v>10 km and above</v>
      </c>
      <c r="T185" s="8"/>
    </row>
    <row r="186" spans="1:20" x14ac:dyDescent="0.25">
      <c r="A186" s="6">
        <v>185</v>
      </c>
      <c r="B186" s="2">
        <v>8.43</v>
      </c>
      <c r="C186" s="8">
        <v>78.900000000000006</v>
      </c>
      <c r="D186" s="3" t="s">
        <v>22</v>
      </c>
      <c r="E186" s="2">
        <v>12.07</v>
      </c>
      <c r="F186" t="s">
        <v>15</v>
      </c>
      <c r="G186" t="s">
        <v>12</v>
      </c>
      <c r="H186" s="1">
        <v>45660.737500000003</v>
      </c>
      <c r="I186" t="s">
        <v>17</v>
      </c>
      <c r="J186" t="s">
        <v>25</v>
      </c>
      <c r="K186" s="10">
        <f>INT(tblDelivery[[#This Row],[order_time]])</f>
        <v>45660</v>
      </c>
      <c r="L186" s="8">
        <f>HOUR(tblDelivery[[#This Row],[order_time]])</f>
        <v>17</v>
      </c>
      <c r="M186">
        <f>IF(tblDelivery[[#This Row],[delivery_time_min]]&lt;=Time_Target,1,0)</f>
        <v>0</v>
      </c>
      <c r="N186" s="8">
        <f>IF(AND(COUNTBLANK(tblDelivery[[#This Row],[order_id]:[customer_zone]])=0,tblDelivery[[#This Row],[delivery_time_min]]&gt;0,tblDelivery[[#This Row],[distance_km]]&gt;0,tblDelivery[[#This Row],[route_length_km]]&gt;=tblDelivery[[#This Row],[distance_km]]*0.99,COUNTIFS(tblDelivery[order_id],tblDelivery[[#This Row],[order_id]])=1),1,0)</f>
        <v>1</v>
      </c>
      <c r="O186" s="8">
        <f>SUBTOTAL(103,tblDelivery[[#This Row],[order_id]])</f>
        <v>1</v>
      </c>
      <c r="P186" s="8" t="str" cm="1">
        <f t="array" ref="P186">_xlfn.IFS(tblDelivery[[#This Row],[distance_km]]&lt;2,"&lt; 2 km",tblDelivery[[#This Row],[distance_km]]&lt;5,"2 to 5 km",tblDelivery[[#This Row],[distance_km]]&lt;10,"5 to 10 km",TRUE,"10 km and above")</f>
        <v>5 to 10 km</v>
      </c>
      <c r="Q186" s="8" t="str" cm="1">
        <f t="array" ref="Q186">_xlfn.IFS(tblDelivery[[#This Row],[route_length_km]]&lt;2,"&lt;2 km",tblDelivery[[#This Row],[route_length_km]]&lt;5,"2 to 5 km",tblDelivery[[#This Row],[route_length_km]]&lt;10,"5 to 10 km",TRUE,"10 km and above")</f>
        <v>10 km and above</v>
      </c>
      <c r="T186" s="8"/>
    </row>
    <row r="187" spans="1:20" x14ac:dyDescent="0.25">
      <c r="A187" s="6">
        <v>186</v>
      </c>
      <c r="B187" s="2">
        <v>8.82</v>
      </c>
      <c r="C187" s="8">
        <v>64.5</v>
      </c>
      <c r="D187" s="3" t="s">
        <v>18</v>
      </c>
      <c r="E187" s="2">
        <v>11.24</v>
      </c>
      <c r="F187" t="s">
        <v>11</v>
      </c>
      <c r="G187" t="s">
        <v>12</v>
      </c>
      <c r="H187" s="1">
        <v>45658.826388888891</v>
      </c>
      <c r="I187" t="s">
        <v>25</v>
      </c>
      <c r="J187" t="s">
        <v>21</v>
      </c>
      <c r="K187" s="10">
        <f>INT(tblDelivery[[#This Row],[order_time]])</f>
        <v>45658</v>
      </c>
      <c r="L187" s="8">
        <f>HOUR(tblDelivery[[#This Row],[order_time]])</f>
        <v>19</v>
      </c>
      <c r="M187">
        <f>IF(tblDelivery[[#This Row],[delivery_time_min]]&lt;=Time_Target,1,0)</f>
        <v>0</v>
      </c>
      <c r="N187" s="8">
        <f>IF(AND(COUNTBLANK(tblDelivery[[#This Row],[order_id]:[customer_zone]])=0,tblDelivery[[#This Row],[delivery_time_min]]&gt;0,tblDelivery[[#This Row],[distance_km]]&gt;0,tblDelivery[[#This Row],[route_length_km]]&gt;=tblDelivery[[#This Row],[distance_km]]*0.99,COUNTIFS(tblDelivery[order_id],tblDelivery[[#This Row],[order_id]])=1),1,0)</f>
        <v>1</v>
      </c>
      <c r="O187" s="8">
        <f>SUBTOTAL(103,tblDelivery[[#This Row],[order_id]])</f>
        <v>1</v>
      </c>
      <c r="P187" s="8" t="str" cm="1">
        <f t="array" ref="P187">_xlfn.IFS(tblDelivery[[#This Row],[distance_km]]&lt;2,"&lt; 2 km",tblDelivery[[#This Row],[distance_km]]&lt;5,"2 to 5 km",tblDelivery[[#This Row],[distance_km]]&lt;10,"5 to 10 km",TRUE,"10 km and above")</f>
        <v>5 to 10 km</v>
      </c>
      <c r="Q187" s="8" t="str" cm="1">
        <f t="array" ref="Q187">_xlfn.IFS(tblDelivery[[#This Row],[route_length_km]]&lt;2,"&lt;2 km",tblDelivery[[#This Row],[route_length_km]]&lt;5,"2 to 5 km",tblDelivery[[#This Row],[route_length_km]]&lt;10,"5 to 10 km",TRUE,"10 km and above")</f>
        <v>10 km and above</v>
      </c>
      <c r="T187" s="8"/>
    </row>
    <row r="188" spans="1:20" x14ac:dyDescent="0.25">
      <c r="A188" s="6">
        <v>187</v>
      </c>
      <c r="B188" s="2">
        <v>1.18</v>
      </c>
      <c r="C188" s="8">
        <v>7.1</v>
      </c>
      <c r="D188" s="3" t="s">
        <v>10</v>
      </c>
      <c r="E188" s="2">
        <v>1.62</v>
      </c>
      <c r="F188" t="s">
        <v>15</v>
      </c>
      <c r="G188" t="s">
        <v>16</v>
      </c>
      <c r="H188" s="1">
        <v>45660.883333333331</v>
      </c>
      <c r="I188" t="s">
        <v>17</v>
      </c>
      <c r="J188" t="s">
        <v>17</v>
      </c>
      <c r="K188" s="10">
        <f>INT(tblDelivery[[#This Row],[order_time]])</f>
        <v>45660</v>
      </c>
      <c r="L188" s="8">
        <f>HOUR(tblDelivery[[#This Row],[order_time]])</f>
        <v>21</v>
      </c>
      <c r="M188">
        <f>IF(tblDelivery[[#This Row],[delivery_time_min]]&lt;=Time_Target,1,0)</f>
        <v>1</v>
      </c>
      <c r="N188" s="8">
        <f>IF(AND(COUNTBLANK(tblDelivery[[#This Row],[order_id]:[customer_zone]])=0,tblDelivery[[#This Row],[delivery_time_min]]&gt;0,tblDelivery[[#This Row],[distance_km]]&gt;0,tblDelivery[[#This Row],[route_length_km]]&gt;=tblDelivery[[#This Row],[distance_km]]*0.99,COUNTIFS(tblDelivery[order_id],tblDelivery[[#This Row],[order_id]])=1),1,0)</f>
        <v>1</v>
      </c>
      <c r="O188" s="8">
        <f>SUBTOTAL(103,tblDelivery[[#This Row],[order_id]])</f>
        <v>1</v>
      </c>
      <c r="P188" s="8" t="str" cm="1">
        <f t="array" ref="P188">_xlfn.IFS(tblDelivery[[#This Row],[distance_km]]&lt;2,"&lt; 2 km",tblDelivery[[#This Row],[distance_km]]&lt;5,"2 to 5 km",tblDelivery[[#This Row],[distance_km]]&lt;10,"5 to 10 km",TRUE,"10 km and above")</f>
        <v>&lt; 2 km</v>
      </c>
      <c r="Q188" s="8" t="str" cm="1">
        <f t="array" ref="Q188">_xlfn.IFS(tblDelivery[[#This Row],[route_length_km]]&lt;2,"&lt;2 km",tblDelivery[[#This Row],[route_length_km]]&lt;5,"2 to 5 km",tblDelivery[[#This Row],[route_length_km]]&lt;10,"5 to 10 km",TRUE,"10 km and above")</f>
        <v>&lt;2 km</v>
      </c>
      <c r="T188" s="8"/>
    </row>
    <row r="189" spans="1:20" x14ac:dyDescent="0.25">
      <c r="A189" s="6">
        <v>188</v>
      </c>
      <c r="B189" s="2">
        <v>10.68</v>
      </c>
      <c r="C189" s="8">
        <v>75.099999999999994</v>
      </c>
      <c r="D189" s="3" t="s">
        <v>10</v>
      </c>
      <c r="E189" s="2">
        <v>14.53</v>
      </c>
      <c r="F189" t="s">
        <v>23</v>
      </c>
      <c r="G189" t="s">
        <v>20</v>
      </c>
      <c r="H189" s="1">
        <v>45661.675694444442</v>
      </c>
      <c r="I189" t="s">
        <v>25</v>
      </c>
      <c r="J189" t="s">
        <v>13</v>
      </c>
      <c r="K189" s="10">
        <f>INT(tblDelivery[[#This Row],[order_time]])</f>
        <v>45661</v>
      </c>
      <c r="L189" s="8">
        <f>HOUR(tblDelivery[[#This Row],[order_time]])</f>
        <v>16</v>
      </c>
      <c r="M189">
        <f>IF(tblDelivery[[#This Row],[delivery_time_min]]&lt;=Time_Target,1,0)</f>
        <v>0</v>
      </c>
      <c r="N189" s="8">
        <f>IF(AND(COUNTBLANK(tblDelivery[[#This Row],[order_id]:[customer_zone]])=0,tblDelivery[[#This Row],[delivery_time_min]]&gt;0,tblDelivery[[#This Row],[distance_km]]&gt;0,tblDelivery[[#This Row],[route_length_km]]&gt;=tblDelivery[[#This Row],[distance_km]]*0.99,COUNTIFS(tblDelivery[order_id],tblDelivery[[#This Row],[order_id]])=1),1,0)</f>
        <v>1</v>
      </c>
      <c r="O189" s="8">
        <f>SUBTOTAL(103,tblDelivery[[#This Row],[order_id]])</f>
        <v>1</v>
      </c>
      <c r="P189" s="8" t="str" cm="1">
        <f t="array" ref="P189">_xlfn.IFS(tblDelivery[[#This Row],[distance_km]]&lt;2,"&lt; 2 km",tblDelivery[[#This Row],[distance_km]]&lt;5,"2 to 5 km",tblDelivery[[#This Row],[distance_km]]&lt;10,"5 to 10 km",TRUE,"10 km and above")</f>
        <v>10 km and above</v>
      </c>
      <c r="Q189" s="8" t="str" cm="1">
        <f t="array" ref="Q189">_xlfn.IFS(tblDelivery[[#This Row],[route_length_km]]&lt;2,"&lt;2 km",tblDelivery[[#This Row],[route_length_km]]&lt;5,"2 to 5 km",tblDelivery[[#This Row],[route_length_km]]&lt;10,"5 to 10 km",TRUE,"10 km and above")</f>
        <v>10 km and above</v>
      </c>
      <c r="T189" s="8"/>
    </row>
    <row r="190" spans="1:20" x14ac:dyDescent="0.25">
      <c r="A190" s="6">
        <v>189</v>
      </c>
      <c r="B190" s="2">
        <v>0.96</v>
      </c>
      <c r="C190" s="8">
        <v>6.7</v>
      </c>
      <c r="D190" s="3" t="s">
        <v>10</v>
      </c>
      <c r="E190" s="2">
        <v>1.05</v>
      </c>
      <c r="F190" t="s">
        <v>15</v>
      </c>
      <c r="G190" t="s">
        <v>24</v>
      </c>
      <c r="H190" s="1">
        <v>45660.571527777778</v>
      </c>
      <c r="I190" t="s">
        <v>21</v>
      </c>
      <c r="J190" t="s">
        <v>25</v>
      </c>
      <c r="K190" s="10">
        <f>INT(tblDelivery[[#This Row],[order_time]])</f>
        <v>45660</v>
      </c>
      <c r="L190" s="8">
        <f>HOUR(tblDelivery[[#This Row],[order_time]])</f>
        <v>13</v>
      </c>
      <c r="M190">
        <f>IF(tblDelivery[[#This Row],[delivery_time_min]]&lt;=Time_Target,1,0)</f>
        <v>1</v>
      </c>
      <c r="N190" s="8">
        <f>IF(AND(COUNTBLANK(tblDelivery[[#This Row],[order_id]:[customer_zone]])=0,tblDelivery[[#This Row],[delivery_time_min]]&gt;0,tblDelivery[[#This Row],[distance_km]]&gt;0,tblDelivery[[#This Row],[route_length_km]]&gt;=tblDelivery[[#This Row],[distance_km]]*0.99,COUNTIFS(tblDelivery[order_id],tblDelivery[[#This Row],[order_id]])=1),1,0)</f>
        <v>1</v>
      </c>
      <c r="O190" s="8">
        <f>SUBTOTAL(103,tblDelivery[[#This Row],[order_id]])</f>
        <v>1</v>
      </c>
      <c r="P190" s="8" t="str" cm="1">
        <f t="array" ref="P190">_xlfn.IFS(tblDelivery[[#This Row],[distance_km]]&lt;2,"&lt; 2 km",tblDelivery[[#This Row],[distance_km]]&lt;5,"2 to 5 km",tblDelivery[[#This Row],[distance_km]]&lt;10,"5 to 10 km",TRUE,"10 km and above")</f>
        <v>&lt; 2 km</v>
      </c>
      <c r="Q190" s="8" t="str" cm="1">
        <f t="array" ref="Q190">_xlfn.IFS(tblDelivery[[#This Row],[route_length_km]]&lt;2,"&lt;2 km",tblDelivery[[#This Row],[route_length_km]]&lt;5,"2 to 5 km",tblDelivery[[#This Row],[route_length_km]]&lt;10,"5 to 10 km",TRUE,"10 km and above")</f>
        <v>&lt;2 km</v>
      </c>
      <c r="T190" s="8"/>
    </row>
    <row r="191" spans="1:20" x14ac:dyDescent="0.25">
      <c r="A191" s="6">
        <v>190</v>
      </c>
      <c r="B191" s="2">
        <v>11.73</v>
      </c>
      <c r="C191" s="8">
        <v>90.6</v>
      </c>
      <c r="D191" s="3" t="s">
        <v>18</v>
      </c>
      <c r="E191" s="2">
        <v>17.29</v>
      </c>
      <c r="F191" t="s">
        <v>15</v>
      </c>
      <c r="G191" t="s">
        <v>16</v>
      </c>
      <c r="H191" s="1">
        <v>45660.347916666666</v>
      </c>
      <c r="I191" t="s">
        <v>13</v>
      </c>
      <c r="J191" t="s">
        <v>13</v>
      </c>
      <c r="K191" s="10">
        <f>INT(tblDelivery[[#This Row],[order_time]])</f>
        <v>45660</v>
      </c>
      <c r="L191" s="8">
        <f>HOUR(tblDelivery[[#This Row],[order_time]])</f>
        <v>8</v>
      </c>
      <c r="M191">
        <f>IF(tblDelivery[[#This Row],[delivery_time_min]]&lt;=Time_Target,1,0)</f>
        <v>0</v>
      </c>
      <c r="N191" s="8">
        <f>IF(AND(COUNTBLANK(tblDelivery[[#This Row],[order_id]:[customer_zone]])=0,tblDelivery[[#This Row],[delivery_time_min]]&gt;0,tblDelivery[[#This Row],[distance_km]]&gt;0,tblDelivery[[#This Row],[route_length_km]]&gt;=tblDelivery[[#This Row],[distance_km]]*0.99,COUNTIFS(tblDelivery[order_id],tblDelivery[[#This Row],[order_id]])=1),1,0)</f>
        <v>1</v>
      </c>
      <c r="O191" s="8">
        <f>SUBTOTAL(103,tblDelivery[[#This Row],[order_id]])</f>
        <v>1</v>
      </c>
      <c r="P191" s="8" t="str" cm="1">
        <f t="array" ref="P191">_xlfn.IFS(tblDelivery[[#This Row],[distance_km]]&lt;2,"&lt; 2 km",tblDelivery[[#This Row],[distance_km]]&lt;5,"2 to 5 km",tblDelivery[[#This Row],[distance_km]]&lt;10,"5 to 10 km",TRUE,"10 km and above")</f>
        <v>10 km and above</v>
      </c>
      <c r="Q191" s="8" t="str" cm="1">
        <f t="array" ref="Q191">_xlfn.IFS(tblDelivery[[#This Row],[route_length_km]]&lt;2,"&lt;2 km",tblDelivery[[#This Row],[route_length_km]]&lt;5,"2 to 5 km",tblDelivery[[#This Row],[route_length_km]]&lt;10,"5 to 10 km",TRUE,"10 km and above")</f>
        <v>10 km and above</v>
      </c>
      <c r="T191" s="8"/>
    </row>
    <row r="192" spans="1:20" x14ac:dyDescent="0.25">
      <c r="A192" s="6">
        <v>191</v>
      </c>
      <c r="B192" s="2">
        <v>11.05</v>
      </c>
      <c r="C192" s="8">
        <v>77.5</v>
      </c>
      <c r="D192" s="3" t="s">
        <v>22</v>
      </c>
      <c r="E192" s="2">
        <v>13.3</v>
      </c>
      <c r="F192" t="s">
        <v>11</v>
      </c>
      <c r="G192" t="s">
        <v>16</v>
      </c>
      <c r="H192" s="1">
        <v>45661.409722222219</v>
      </c>
      <c r="I192" t="s">
        <v>17</v>
      </c>
      <c r="J192" t="s">
        <v>25</v>
      </c>
      <c r="K192" s="10">
        <f>INT(tblDelivery[[#This Row],[order_time]])</f>
        <v>45661</v>
      </c>
      <c r="L192" s="8">
        <f>HOUR(tblDelivery[[#This Row],[order_time]])</f>
        <v>9</v>
      </c>
      <c r="M192">
        <f>IF(tblDelivery[[#This Row],[delivery_time_min]]&lt;=Time_Target,1,0)</f>
        <v>0</v>
      </c>
      <c r="N192" s="8">
        <f>IF(AND(COUNTBLANK(tblDelivery[[#This Row],[order_id]:[customer_zone]])=0,tblDelivery[[#This Row],[delivery_time_min]]&gt;0,tblDelivery[[#This Row],[distance_km]]&gt;0,tblDelivery[[#This Row],[route_length_km]]&gt;=tblDelivery[[#This Row],[distance_km]]*0.99,COUNTIFS(tblDelivery[order_id],tblDelivery[[#This Row],[order_id]])=1),1,0)</f>
        <v>1</v>
      </c>
      <c r="O192" s="8">
        <f>SUBTOTAL(103,tblDelivery[[#This Row],[order_id]])</f>
        <v>1</v>
      </c>
      <c r="P192" s="8" t="str" cm="1">
        <f t="array" ref="P192">_xlfn.IFS(tblDelivery[[#This Row],[distance_km]]&lt;2,"&lt; 2 km",tblDelivery[[#This Row],[distance_km]]&lt;5,"2 to 5 km",tblDelivery[[#This Row],[distance_km]]&lt;10,"5 to 10 km",TRUE,"10 km and above")</f>
        <v>10 km and above</v>
      </c>
      <c r="Q192" s="8" t="str" cm="1">
        <f t="array" ref="Q192">_xlfn.IFS(tblDelivery[[#This Row],[route_length_km]]&lt;2,"&lt;2 km",tblDelivery[[#This Row],[route_length_km]]&lt;5,"2 to 5 km",tblDelivery[[#This Row],[route_length_km]]&lt;10,"5 to 10 km",TRUE,"10 km and above")</f>
        <v>10 km and above</v>
      </c>
      <c r="T192" s="8"/>
    </row>
    <row r="193" spans="1:20" x14ac:dyDescent="0.25">
      <c r="A193" s="6">
        <v>192</v>
      </c>
      <c r="B193" s="2">
        <v>7.73</v>
      </c>
      <c r="C193" s="8">
        <v>53.4</v>
      </c>
      <c r="D193" s="3" t="s">
        <v>10</v>
      </c>
      <c r="E193" s="2">
        <v>9.0299999999999994</v>
      </c>
      <c r="F193" t="s">
        <v>11</v>
      </c>
      <c r="G193" t="s">
        <v>16</v>
      </c>
      <c r="H193" s="1">
        <v>45659.461805555555</v>
      </c>
      <c r="I193" t="s">
        <v>21</v>
      </c>
      <c r="J193" t="s">
        <v>25</v>
      </c>
      <c r="K193" s="10">
        <f>INT(tblDelivery[[#This Row],[order_time]])</f>
        <v>45659</v>
      </c>
      <c r="L193" s="8">
        <f>HOUR(tblDelivery[[#This Row],[order_time]])</f>
        <v>11</v>
      </c>
      <c r="M193">
        <f>IF(tblDelivery[[#This Row],[delivery_time_min]]&lt;=Time_Target,1,0)</f>
        <v>0</v>
      </c>
      <c r="N193" s="8">
        <f>IF(AND(COUNTBLANK(tblDelivery[[#This Row],[order_id]:[customer_zone]])=0,tblDelivery[[#This Row],[delivery_time_min]]&gt;0,tblDelivery[[#This Row],[distance_km]]&gt;0,tblDelivery[[#This Row],[route_length_km]]&gt;=tblDelivery[[#This Row],[distance_km]]*0.99,COUNTIFS(tblDelivery[order_id],tblDelivery[[#This Row],[order_id]])=1),1,0)</f>
        <v>1</v>
      </c>
      <c r="O193" s="8">
        <f>SUBTOTAL(103,tblDelivery[[#This Row],[order_id]])</f>
        <v>1</v>
      </c>
      <c r="P193" s="8" t="str" cm="1">
        <f t="array" ref="P193">_xlfn.IFS(tblDelivery[[#This Row],[distance_km]]&lt;2,"&lt; 2 km",tblDelivery[[#This Row],[distance_km]]&lt;5,"2 to 5 km",tblDelivery[[#This Row],[distance_km]]&lt;10,"5 to 10 km",TRUE,"10 km and above")</f>
        <v>5 to 10 km</v>
      </c>
      <c r="Q193" s="8" t="str" cm="1">
        <f t="array" ref="Q193">_xlfn.IFS(tblDelivery[[#This Row],[route_length_km]]&lt;2,"&lt;2 km",tblDelivery[[#This Row],[route_length_km]]&lt;5,"2 to 5 km",tblDelivery[[#This Row],[route_length_km]]&lt;10,"5 to 10 km",TRUE,"10 km and above")</f>
        <v>5 to 10 km</v>
      </c>
      <c r="T193" s="8"/>
    </row>
    <row r="194" spans="1:20" x14ac:dyDescent="0.25">
      <c r="A194" s="6">
        <v>193</v>
      </c>
      <c r="B194" s="2">
        <v>8.31</v>
      </c>
      <c r="C194" s="8">
        <v>56</v>
      </c>
      <c r="D194" s="3" t="s">
        <v>10</v>
      </c>
      <c r="E194" s="2">
        <v>8.64</v>
      </c>
      <c r="F194" t="s">
        <v>19</v>
      </c>
      <c r="G194" t="s">
        <v>20</v>
      </c>
      <c r="H194" s="1">
        <v>45659.665972222225</v>
      </c>
      <c r="I194" t="s">
        <v>14</v>
      </c>
      <c r="J194" t="s">
        <v>17</v>
      </c>
      <c r="K194" s="10">
        <f>INT(tblDelivery[[#This Row],[order_time]])</f>
        <v>45659</v>
      </c>
      <c r="L194" s="8">
        <f>HOUR(tblDelivery[[#This Row],[order_time]])</f>
        <v>15</v>
      </c>
      <c r="M194">
        <f>IF(tblDelivery[[#This Row],[delivery_time_min]]&lt;=Time_Target,1,0)</f>
        <v>0</v>
      </c>
      <c r="N194" s="8">
        <f>IF(AND(COUNTBLANK(tblDelivery[[#This Row],[order_id]:[customer_zone]])=0,tblDelivery[[#This Row],[delivery_time_min]]&gt;0,tblDelivery[[#This Row],[distance_km]]&gt;0,tblDelivery[[#This Row],[route_length_km]]&gt;=tblDelivery[[#This Row],[distance_km]]*0.99,COUNTIFS(tblDelivery[order_id],tblDelivery[[#This Row],[order_id]])=1),1,0)</f>
        <v>1</v>
      </c>
      <c r="O194" s="8">
        <f>SUBTOTAL(103,tblDelivery[[#This Row],[order_id]])</f>
        <v>1</v>
      </c>
      <c r="P194" s="8" t="str" cm="1">
        <f t="array" ref="P194">_xlfn.IFS(tblDelivery[[#This Row],[distance_km]]&lt;2,"&lt; 2 km",tblDelivery[[#This Row],[distance_km]]&lt;5,"2 to 5 km",tblDelivery[[#This Row],[distance_km]]&lt;10,"5 to 10 km",TRUE,"10 km and above")</f>
        <v>5 to 10 km</v>
      </c>
      <c r="Q194" s="8" t="str" cm="1">
        <f t="array" ref="Q194">_xlfn.IFS(tblDelivery[[#This Row],[route_length_km]]&lt;2,"&lt;2 km",tblDelivery[[#This Row],[route_length_km]]&lt;5,"2 to 5 km",tblDelivery[[#This Row],[route_length_km]]&lt;10,"5 to 10 km",TRUE,"10 km and above")</f>
        <v>5 to 10 km</v>
      </c>
      <c r="T194" s="8"/>
    </row>
    <row r="195" spans="1:20" x14ac:dyDescent="0.25">
      <c r="A195" s="6">
        <v>194</v>
      </c>
      <c r="B195" s="2">
        <v>11.18</v>
      </c>
      <c r="C195" s="8">
        <v>73.400000000000006</v>
      </c>
      <c r="D195" s="3" t="s">
        <v>10</v>
      </c>
      <c r="E195" s="2">
        <v>12.35</v>
      </c>
      <c r="F195" t="s">
        <v>23</v>
      </c>
      <c r="G195" t="s">
        <v>24</v>
      </c>
      <c r="H195" s="1">
        <v>45661.054166666669</v>
      </c>
      <c r="I195" t="s">
        <v>13</v>
      </c>
      <c r="J195" t="s">
        <v>25</v>
      </c>
      <c r="K195" s="10">
        <f>INT(tblDelivery[[#This Row],[order_time]])</f>
        <v>45661</v>
      </c>
      <c r="L195" s="8">
        <f>HOUR(tblDelivery[[#This Row],[order_time]])</f>
        <v>1</v>
      </c>
      <c r="M195">
        <f>IF(tblDelivery[[#This Row],[delivery_time_min]]&lt;=Time_Target,1,0)</f>
        <v>0</v>
      </c>
      <c r="N195" s="8">
        <f>IF(AND(COUNTBLANK(tblDelivery[[#This Row],[order_id]:[customer_zone]])=0,tblDelivery[[#This Row],[delivery_time_min]]&gt;0,tblDelivery[[#This Row],[distance_km]]&gt;0,tblDelivery[[#This Row],[route_length_km]]&gt;=tblDelivery[[#This Row],[distance_km]]*0.99,COUNTIFS(tblDelivery[order_id],tblDelivery[[#This Row],[order_id]])=1),1,0)</f>
        <v>1</v>
      </c>
      <c r="O195" s="8">
        <f>SUBTOTAL(103,tblDelivery[[#This Row],[order_id]])</f>
        <v>1</v>
      </c>
      <c r="P195" s="8" t="str" cm="1">
        <f t="array" ref="P195">_xlfn.IFS(tblDelivery[[#This Row],[distance_km]]&lt;2,"&lt; 2 km",tblDelivery[[#This Row],[distance_km]]&lt;5,"2 to 5 km",tblDelivery[[#This Row],[distance_km]]&lt;10,"5 to 10 km",TRUE,"10 km and above")</f>
        <v>10 km and above</v>
      </c>
      <c r="Q195" s="8" t="str" cm="1">
        <f t="array" ref="Q195">_xlfn.IFS(tblDelivery[[#This Row],[route_length_km]]&lt;2,"&lt;2 km",tblDelivery[[#This Row],[route_length_km]]&lt;5,"2 to 5 km",tblDelivery[[#This Row],[route_length_km]]&lt;10,"5 to 10 km",TRUE,"10 km and above")</f>
        <v>10 km and above</v>
      </c>
      <c r="T195" s="8"/>
    </row>
    <row r="196" spans="1:20" x14ac:dyDescent="0.25">
      <c r="A196" s="6">
        <v>195</v>
      </c>
      <c r="B196" s="2">
        <v>1.28</v>
      </c>
      <c r="C196" s="8">
        <v>6</v>
      </c>
      <c r="D196" s="3" t="s">
        <v>10</v>
      </c>
      <c r="E196" s="2">
        <v>1.46</v>
      </c>
      <c r="F196" t="s">
        <v>23</v>
      </c>
      <c r="G196" t="s">
        <v>24</v>
      </c>
      <c r="H196" s="1">
        <v>45658.936805555553</v>
      </c>
      <c r="I196" t="s">
        <v>13</v>
      </c>
      <c r="J196" t="s">
        <v>25</v>
      </c>
      <c r="K196" s="10">
        <f>INT(tblDelivery[[#This Row],[order_time]])</f>
        <v>45658</v>
      </c>
      <c r="L196" s="8">
        <f>HOUR(tblDelivery[[#This Row],[order_time]])</f>
        <v>22</v>
      </c>
      <c r="M196">
        <f>IF(tblDelivery[[#This Row],[delivery_time_min]]&lt;=Time_Target,1,0)</f>
        <v>1</v>
      </c>
      <c r="N196" s="8">
        <f>IF(AND(COUNTBLANK(tblDelivery[[#This Row],[order_id]:[customer_zone]])=0,tblDelivery[[#This Row],[delivery_time_min]]&gt;0,tblDelivery[[#This Row],[distance_km]]&gt;0,tblDelivery[[#This Row],[route_length_km]]&gt;=tblDelivery[[#This Row],[distance_km]]*0.99,COUNTIFS(tblDelivery[order_id],tblDelivery[[#This Row],[order_id]])=1),1,0)</f>
        <v>1</v>
      </c>
      <c r="O196" s="8">
        <f>SUBTOTAL(103,tblDelivery[[#This Row],[order_id]])</f>
        <v>1</v>
      </c>
      <c r="P196" s="8" t="str" cm="1">
        <f t="array" ref="P196">_xlfn.IFS(tblDelivery[[#This Row],[distance_km]]&lt;2,"&lt; 2 km",tblDelivery[[#This Row],[distance_km]]&lt;5,"2 to 5 km",tblDelivery[[#This Row],[distance_km]]&lt;10,"5 to 10 km",TRUE,"10 km and above")</f>
        <v>&lt; 2 km</v>
      </c>
      <c r="Q196" s="8" t="str" cm="1">
        <f t="array" ref="Q196">_xlfn.IFS(tblDelivery[[#This Row],[route_length_km]]&lt;2,"&lt;2 km",tblDelivery[[#This Row],[route_length_km]]&lt;5,"2 to 5 km",tblDelivery[[#This Row],[route_length_km]]&lt;10,"5 to 10 km",TRUE,"10 km and above")</f>
        <v>&lt;2 km</v>
      </c>
      <c r="T196" s="8"/>
    </row>
    <row r="197" spans="1:20" x14ac:dyDescent="0.25">
      <c r="A197" s="6">
        <v>196</v>
      </c>
      <c r="B197" s="2">
        <v>9.02</v>
      </c>
      <c r="C197" s="8">
        <v>38.4</v>
      </c>
      <c r="D197" s="3" t="s">
        <v>22</v>
      </c>
      <c r="E197" s="2">
        <v>9.57</v>
      </c>
      <c r="F197" t="s">
        <v>19</v>
      </c>
      <c r="G197" t="s">
        <v>16</v>
      </c>
      <c r="H197" s="1">
        <v>45660.390277777777</v>
      </c>
      <c r="I197" t="s">
        <v>21</v>
      </c>
      <c r="J197" t="s">
        <v>13</v>
      </c>
      <c r="K197" s="10">
        <f>INT(tblDelivery[[#This Row],[order_time]])</f>
        <v>45660</v>
      </c>
      <c r="L197" s="8">
        <f>HOUR(tblDelivery[[#This Row],[order_time]])</f>
        <v>9</v>
      </c>
      <c r="M197">
        <f>IF(tblDelivery[[#This Row],[delivery_time_min]]&lt;=Time_Target,1,0)</f>
        <v>1</v>
      </c>
      <c r="N197" s="8">
        <f>IF(AND(COUNTBLANK(tblDelivery[[#This Row],[order_id]:[customer_zone]])=0,tblDelivery[[#This Row],[delivery_time_min]]&gt;0,tblDelivery[[#This Row],[distance_km]]&gt;0,tblDelivery[[#This Row],[route_length_km]]&gt;=tblDelivery[[#This Row],[distance_km]]*0.99,COUNTIFS(tblDelivery[order_id],tblDelivery[[#This Row],[order_id]])=1),1,0)</f>
        <v>1</v>
      </c>
      <c r="O197" s="8">
        <f>SUBTOTAL(103,tblDelivery[[#This Row],[order_id]])</f>
        <v>1</v>
      </c>
      <c r="P197" s="8" t="str" cm="1">
        <f t="array" ref="P197">_xlfn.IFS(tblDelivery[[#This Row],[distance_km]]&lt;2,"&lt; 2 km",tblDelivery[[#This Row],[distance_km]]&lt;5,"2 to 5 km",tblDelivery[[#This Row],[distance_km]]&lt;10,"5 to 10 km",TRUE,"10 km and above")</f>
        <v>5 to 10 km</v>
      </c>
      <c r="Q197" s="8" t="str" cm="1">
        <f t="array" ref="Q197">_xlfn.IFS(tblDelivery[[#This Row],[route_length_km]]&lt;2,"&lt;2 km",tblDelivery[[#This Row],[route_length_km]]&lt;5,"2 to 5 km",tblDelivery[[#This Row],[route_length_km]]&lt;10,"5 to 10 km",TRUE,"10 km and above")</f>
        <v>5 to 10 km</v>
      </c>
      <c r="T197" s="8"/>
    </row>
    <row r="198" spans="1:20" x14ac:dyDescent="0.25">
      <c r="A198" s="6">
        <v>197</v>
      </c>
      <c r="B198" s="2">
        <v>6.73</v>
      </c>
      <c r="C198" s="8">
        <v>59.2</v>
      </c>
      <c r="D198" s="3" t="s">
        <v>22</v>
      </c>
      <c r="E198" s="2">
        <v>10.039999999999999</v>
      </c>
      <c r="F198" t="s">
        <v>19</v>
      </c>
      <c r="G198" t="s">
        <v>16</v>
      </c>
      <c r="H198" s="1">
        <v>45660.147222222222</v>
      </c>
      <c r="I198" t="s">
        <v>13</v>
      </c>
      <c r="J198" t="s">
        <v>13</v>
      </c>
      <c r="K198" s="10">
        <f>INT(tblDelivery[[#This Row],[order_time]])</f>
        <v>45660</v>
      </c>
      <c r="L198" s="8">
        <f>HOUR(tblDelivery[[#This Row],[order_time]])</f>
        <v>3</v>
      </c>
      <c r="M198">
        <f>IF(tblDelivery[[#This Row],[delivery_time_min]]&lt;=Time_Target,1,0)</f>
        <v>0</v>
      </c>
      <c r="N198" s="8">
        <f>IF(AND(COUNTBLANK(tblDelivery[[#This Row],[order_id]:[customer_zone]])=0,tblDelivery[[#This Row],[delivery_time_min]]&gt;0,tblDelivery[[#This Row],[distance_km]]&gt;0,tblDelivery[[#This Row],[route_length_km]]&gt;=tblDelivery[[#This Row],[distance_km]]*0.99,COUNTIFS(tblDelivery[order_id],tblDelivery[[#This Row],[order_id]])=1),1,0)</f>
        <v>1</v>
      </c>
      <c r="O198" s="8">
        <f>SUBTOTAL(103,tblDelivery[[#This Row],[order_id]])</f>
        <v>1</v>
      </c>
      <c r="P198" s="8" t="str" cm="1">
        <f t="array" ref="P198">_xlfn.IFS(tblDelivery[[#This Row],[distance_km]]&lt;2,"&lt; 2 km",tblDelivery[[#This Row],[distance_km]]&lt;5,"2 to 5 km",tblDelivery[[#This Row],[distance_km]]&lt;10,"5 to 10 km",TRUE,"10 km and above")</f>
        <v>5 to 10 km</v>
      </c>
      <c r="Q198" s="8" t="str" cm="1">
        <f t="array" ref="Q198">_xlfn.IFS(tblDelivery[[#This Row],[route_length_km]]&lt;2,"&lt;2 km",tblDelivery[[#This Row],[route_length_km]]&lt;5,"2 to 5 km",tblDelivery[[#This Row],[route_length_km]]&lt;10,"5 to 10 km",TRUE,"10 km and above")</f>
        <v>10 km and above</v>
      </c>
      <c r="T198" s="8"/>
    </row>
    <row r="199" spans="1:20" x14ac:dyDescent="0.25">
      <c r="A199" s="6">
        <v>198</v>
      </c>
      <c r="B199" s="2">
        <v>6.98</v>
      </c>
      <c r="C199" s="8">
        <v>51.4</v>
      </c>
      <c r="D199" s="3" t="s">
        <v>10</v>
      </c>
      <c r="E199" s="2">
        <v>7.83</v>
      </c>
      <c r="F199" t="s">
        <v>23</v>
      </c>
      <c r="G199" t="s">
        <v>16</v>
      </c>
      <c r="H199" s="1">
        <v>45658.335416666669</v>
      </c>
      <c r="I199" t="s">
        <v>21</v>
      </c>
      <c r="J199" t="s">
        <v>17</v>
      </c>
      <c r="K199" s="10">
        <f>INT(tblDelivery[[#This Row],[order_time]])</f>
        <v>45658</v>
      </c>
      <c r="L199" s="8">
        <f>HOUR(tblDelivery[[#This Row],[order_time]])</f>
        <v>8</v>
      </c>
      <c r="M199">
        <f>IF(tblDelivery[[#This Row],[delivery_time_min]]&lt;=Time_Target,1,0)</f>
        <v>0</v>
      </c>
      <c r="N199" s="8">
        <f>IF(AND(COUNTBLANK(tblDelivery[[#This Row],[order_id]:[customer_zone]])=0,tblDelivery[[#This Row],[delivery_time_min]]&gt;0,tblDelivery[[#This Row],[distance_km]]&gt;0,tblDelivery[[#This Row],[route_length_km]]&gt;=tblDelivery[[#This Row],[distance_km]]*0.99,COUNTIFS(tblDelivery[order_id],tblDelivery[[#This Row],[order_id]])=1),1,0)</f>
        <v>1</v>
      </c>
      <c r="O199" s="8">
        <f>SUBTOTAL(103,tblDelivery[[#This Row],[order_id]])</f>
        <v>1</v>
      </c>
      <c r="P199" s="8" t="str" cm="1">
        <f t="array" ref="P199">_xlfn.IFS(tblDelivery[[#This Row],[distance_km]]&lt;2,"&lt; 2 km",tblDelivery[[#This Row],[distance_km]]&lt;5,"2 to 5 km",tblDelivery[[#This Row],[distance_km]]&lt;10,"5 to 10 km",TRUE,"10 km and above")</f>
        <v>5 to 10 km</v>
      </c>
      <c r="Q199" s="8" t="str" cm="1">
        <f t="array" ref="Q199">_xlfn.IFS(tblDelivery[[#This Row],[route_length_km]]&lt;2,"&lt;2 km",tblDelivery[[#This Row],[route_length_km]]&lt;5,"2 to 5 km",tblDelivery[[#This Row],[route_length_km]]&lt;10,"5 to 10 km",TRUE,"10 km and above")</f>
        <v>5 to 10 km</v>
      </c>
      <c r="T199" s="8"/>
    </row>
    <row r="200" spans="1:20" x14ac:dyDescent="0.25">
      <c r="A200" s="6">
        <v>199</v>
      </c>
      <c r="B200" s="2">
        <v>3.8</v>
      </c>
      <c r="C200" s="8">
        <v>29.2</v>
      </c>
      <c r="D200" s="3" t="s">
        <v>18</v>
      </c>
      <c r="E200" s="2">
        <v>5.34</v>
      </c>
      <c r="F200" t="s">
        <v>11</v>
      </c>
      <c r="G200" t="s">
        <v>20</v>
      </c>
      <c r="H200" s="1">
        <v>45661.31527777778</v>
      </c>
      <c r="I200" t="s">
        <v>13</v>
      </c>
      <c r="J200" t="s">
        <v>14</v>
      </c>
      <c r="K200" s="10">
        <f>INT(tblDelivery[[#This Row],[order_time]])</f>
        <v>45661</v>
      </c>
      <c r="L200" s="8">
        <f>HOUR(tblDelivery[[#This Row],[order_time]])</f>
        <v>7</v>
      </c>
      <c r="M200">
        <f>IF(tblDelivery[[#This Row],[delivery_time_min]]&lt;=Time_Target,1,0)</f>
        <v>1</v>
      </c>
      <c r="N200" s="8">
        <f>IF(AND(COUNTBLANK(tblDelivery[[#This Row],[order_id]:[customer_zone]])=0,tblDelivery[[#This Row],[delivery_time_min]]&gt;0,tblDelivery[[#This Row],[distance_km]]&gt;0,tblDelivery[[#This Row],[route_length_km]]&gt;=tblDelivery[[#This Row],[distance_km]]*0.99,COUNTIFS(tblDelivery[order_id],tblDelivery[[#This Row],[order_id]])=1),1,0)</f>
        <v>1</v>
      </c>
      <c r="O200" s="8">
        <f>SUBTOTAL(103,tblDelivery[[#This Row],[order_id]])</f>
        <v>1</v>
      </c>
      <c r="P200" s="8" t="str" cm="1">
        <f t="array" ref="P200">_xlfn.IFS(tblDelivery[[#This Row],[distance_km]]&lt;2,"&lt; 2 km",tblDelivery[[#This Row],[distance_km]]&lt;5,"2 to 5 km",tblDelivery[[#This Row],[distance_km]]&lt;10,"5 to 10 km",TRUE,"10 km and above")</f>
        <v>2 to 5 km</v>
      </c>
      <c r="Q200" s="8" t="str" cm="1">
        <f t="array" ref="Q200">_xlfn.IFS(tblDelivery[[#This Row],[route_length_km]]&lt;2,"&lt;2 km",tblDelivery[[#This Row],[route_length_km]]&lt;5,"2 to 5 km",tblDelivery[[#This Row],[route_length_km]]&lt;10,"5 to 10 km",TRUE,"10 km and above")</f>
        <v>5 to 10 km</v>
      </c>
      <c r="T200" s="8"/>
    </row>
    <row r="201" spans="1:20" x14ac:dyDescent="0.25">
      <c r="A201" s="6">
        <v>200</v>
      </c>
      <c r="B201" s="2">
        <v>6.55</v>
      </c>
      <c r="C201" s="8">
        <v>40.799999999999997</v>
      </c>
      <c r="D201" s="3" t="s">
        <v>18</v>
      </c>
      <c r="E201" s="2">
        <v>7.72</v>
      </c>
      <c r="F201" t="s">
        <v>15</v>
      </c>
      <c r="G201" t="s">
        <v>24</v>
      </c>
      <c r="H201" s="1">
        <v>45661.633333333331</v>
      </c>
      <c r="I201" t="s">
        <v>13</v>
      </c>
      <c r="J201" t="s">
        <v>14</v>
      </c>
      <c r="K201" s="10">
        <f>INT(tblDelivery[[#This Row],[order_time]])</f>
        <v>45661</v>
      </c>
      <c r="L201" s="8">
        <f>HOUR(tblDelivery[[#This Row],[order_time]])</f>
        <v>15</v>
      </c>
      <c r="M201">
        <f>IF(tblDelivery[[#This Row],[delivery_time_min]]&lt;=Time_Target,1,0)</f>
        <v>1</v>
      </c>
      <c r="N201" s="8">
        <f>IF(AND(COUNTBLANK(tblDelivery[[#This Row],[order_id]:[customer_zone]])=0,tblDelivery[[#This Row],[delivery_time_min]]&gt;0,tblDelivery[[#This Row],[distance_km]]&gt;0,tblDelivery[[#This Row],[route_length_km]]&gt;=tblDelivery[[#This Row],[distance_km]]*0.99,COUNTIFS(tblDelivery[order_id],tblDelivery[[#This Row],[order_id]])=1),1,0)</f>
        <v>1</v>
      </c>
      <c r="O201" s="8">
        <f>SUBTOTAL(103,tblDelivery[[#This Row],[order_id]])</f>
        <v>1</v>
      </c>
      <c r="P201" s="8" t="str" cm="1">
        <f t="array" ref="P201">_xlfn.IFS(tblDelivery[[#This Row],[distance_km]]&lt;2,"&lt; 2 km",tblDelivery[[#This Row],[distance_km]]&lt;5,"2 to 5 km",tblDelivery[[#This Row],[distance_km]]&lt;10,"5 to 10 km",TRUE,"10 km and above")</f>
        <v>5 to 10 km</v>
      </c>
      <c r="Q201" s="8" t="str" cm="1">
        <f t="array" ref="Q201">_xlfn.IFS(tblDelivery[[#This Row],[route_length_km]]&lt;2,"&lt;2 km",tblDelivery[[#This Row],[route_length_km]]&lt;5,"2 to 5 km",tblDelivery[[#This Row],[route_length_km]]&lt;10,"5 to 10 km",TRUE,"10 km and above")</f>
        <v>5 to 10 km</v>
      </c>
      <c r="T201" s="8"/>
    </row>
  </sheetData>
  <phoneticPr fontId="1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zoomScale="82" zoomScaleNormal="82" workbookViewId="0">
      <selection activeCell="AD57" sqref="AD57"/>
    </sheetView>
  </sheetViews>
  <sheetFormatPr defaultRowHeight="15" x14ac:dyDescent="0.25"/>
  <cols>
    <col min="1" max="1" width="23.28515625" bestFit="1" customWidth="1"/>
    <col min="2" max="2" width="22.140625" bestFit="1" customWidth="1"/>
    <col min="3" max="3" width="24.140625" bestFit="1" customWidth="1"/>
  </cols>
  <sheetData>
    <row r="1" spans="1:9" x14ac:dyDescent="0.25">
      <c r="A1" s="4" t="s">
        <v>26</v>
      </c>
    </row>
    <row r="2" spans="1:9" x14ac:dyDescent="0.25">
      <c r="H2" s="19" t="s">
        <v>37</v>
      </c>
      <c r="I2" s="20">
        <f>COUNTIFS(tblDelivery[h_include],1,tblDelivery[h_visible],1)</f>
        <v>200</v>
      </c>
    </row>
    <row r="3" spans="1:9" x14ac:dyDescent="0.25">
      <c r="H3" s="19" t="s">
        <v>38</v>
      </c>
      <c r="I3" s="20">
        <f>AVERAGEIFS(tblDelivery[delivery_time_min],tblDelivery[h_include],1,tblDelivery[h_visible],1)</f>
        <v>44.744499999999981</v>
      </c>
    </row>
    <row r="4" spans="1:9" x14ac:dyDescent="0.25">
      <c r="A4" t="s">
        <v>36</v>
      </c>
      <c r="C4" t="s">
        <v>43</v>
      </c>
      <c r="H4" s="19" t="s">
        <v>39</v>
      </c>
      <c r="I4" s="21">
        <f>IFERROR(SUMIFS(tblDelivery[[#This Row],[On_time]],tblDelivery[[#This Row],[h_include]],1,tblDelivery[[#This Row],[h_visible]],1)/I2,0)</f>
        <v>0</v>
      </c>
    </row>
    <row r="5" spans="1:9" x14ac:dyDescent="0.25">
      <c r="A5" s="18">
        <v>200</v>
      </c>
      <c r="C5" s="16">
        <v>44.744499999999981</v>
      </c>
      <c r="H5" s="19" t="s">
        <v>40</v>
      </c>
      <c r="I5" s="19">
        <f>SUMIFS(tblDelivery[distance_km],tblDelivery[h_include],1,tblDelivery[h_visible],1)/(SUMIFS(tblDelivery[delivery_time_min],tblDelivery[h_include],1,tblDelivery[h_visible],1)/60)</f>
        <v>8.8834381879337219</v>
      </c>
    </row>
    <row r="6" spans="1:9" x14ac:dyDescent="0.25">
      <c r="A6">
        <f>GETPIVOTDATA("order_id",$A$4)</f>
        <v>200</v>
      </c>
      <c r="C6" s="5">
        <f>GETPIVOTDATA("delivery_time_min",$C$4)</f>
        <v>44.744499999999981</v>
      </c>
      <c r="H6" s="19" t="s">
        <v>41</v>
      </c>
      <c r="I6" s="19">
        <f>SUMIFS(tblDelivery[route_length_km],tblDelivery[h_include],1,tblDelivery[h_visible],1)/SUMIFS(tblDelivery[distance_km],tblDelivery[h_include],1,tblDelivery[h_visible],1)-1</f>
        <v>0.23111815540208958</v>
      </c>
    </row>
    <row r="7" spans="1:9" x14ac:dyDescent="0.25">
      <c r="H7" s="19" t="s">
        <v>42</v>
      </c>
      <c r="I7" s="21">
        <f>COUNTIFS(tblDelivery[h_include],1)/ROWS(tblDelivery[])</f>
        <v>1</v>
      </c>
    </row>
    <row r="8" spans="1:9" x14ac:dyDescent="0.25">
      <c r="C8" t="s">
        <v>67</v>
      </c>
    </row>
    <row r="9" spans="1:9" x14ac:dyDescent="0.25">
      <c r="C9" s="16">
        <v>6.6247500000000032</v>
      </c>
    </row>
    <row r="10" spans="1:9" x14ac:dyDescent="0.25">
      <c r="A10" s="14" t="s">
        <v>44</v>
      </c>
      <c r="C10" s="5">
        <f>GETPIVOTDATA("distance_km",$C$8)</f>
        <v>6.6247500000000032</v>
      </c>
    </row>
    <row r="11" spans="1:9" x14ac:dyDescent="0.25">
      <c r="A11" s="14">
        <v>0.505</v>
      </c>
    </row>
    <row r="12" spans="1:9" x14ac:dyDescent="0.25">
      <c r="A12" s="13">
        <f>GETPIVOTDATA("On_time",$A$10)</f>
        <v>0.505</v>
      </c>
    </row>
    <row r="14" spans="1:9" x14ac:dyDescent="0.25">
      <c r="A14" s="14" t="s">
        <v>46</v>
      </c>
      <c r="B14" s="14" t="s">
        <v>45</v>
      </c>
    </row>
    <row r="15" spans="1:9" x14ac:dyDescent="0.25">
      <c r="A15" s="17">
        <v>0.23111815540208958</v>
      </c>
      <c r="B15" s="16">
        <v>8.8834381879337219</v>
      </c>
    </row>
    <row r="16" spans="1:9" x14ac:dyDescent="0.25">
      <c r="A16" s="13">
        <f>GETPIVOTDATA("Sum of Route Detour %",$A$14)</f>
        <v>0.23111815540208958</v>
      </c>
      <c r="B16" s="5">
        <f>GETPIVOTDATA("Average of Avg. Speed",$A$14)</f>
        <v>8.8834381879337219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8"/>
  <sheetViews>
    <sheetView showGridLines="0" topLeftCell="A20" zoomScaleNormal="100" workbookViewId="0">
      <selection activeCell="A33" sqref="A33"/>
    </sheetView>
  </sheetViews>
  <sheetFormatPr defaultRowHeight="15" x14ac:dyDescent="0.25"/>
  <cols>
    <col min="1" max="1" width="11.42578125" style="24" customWidth="1"/>
    <col min="2" max="2" width="10.140625" style="24" customWidth="1"/>
    <col min="3" max="3" width="4.5703125" style="24" bestFit="1" customWidth="1"/>
    <col min="4" max="5" width="6.140625" style="24" bestFit="1" customWidth="1"/>
    <col min="6" max="6" width="5.7109375" style="24" bestFit="1" customWidth="1"/>
    <col min="7" max="7" width="9.140625" style="24"/>
    <col min="8" max="8" width="13.140625" style="24" bestFit="1" customWidth="1"/>
    <col min="9" max="9" width="16.7109375" style="24" bestFit="1" customWidth="1"/>
    <col min="10" max="16384" width="9.140625" style="24"/>
  </cols>
  <sheetData>
    <row r="1" spans="1:2" x14ac:dyDescent="0.25">
      <c r="A1" s="24" t="s">
        <v>49</v>
      </c>
    </row>
    <row r="2" spans="1:2" x14ac:dyDescent="0.25">
      <c r="A2" s="24" t="s">
        <v>48</v>
      </c>
      <c r="B2" s="24" t="s">
        <v>43</v>
      </c>
    </row>
    <row r="3" spans="1:2" x14ac:dyDescent="0.25">
      <c r="A3" s="27">
        <v>45658</v>
      </c>
      <c r="B3" s="28">
        <v>44.500000000000007</v>
      </c>
    </row>
    <row r="4" spans="1:2" x14ac:dyDescent="0.25">
      <c r="A4" s="27">
        <v>45659</v>
      </c>
      <c r="B4" s="28">
        <v>43.641666666666666</v>
      </c>
    </row>
    <row r="5" spans="1:2" x14ac:dyDescent="0.25">
      <c r="A5" s="27">
        <v>45660</v>
      </c>
      <c r="B5" s="28">
        <v>46.120312500000004</v>
      </c>
    </row>
    <row r="6" spans="1:2" x14ac:dyDescent="0.25">
      <c r="A6" s="27">
        <v>45661</v>
      </c>
      <c r="B6" s="28">
        <v>44.432653061224492</v>
      </c>
    </row>
    <row r="8" spans="1:2" x14ac:dyDescent="0.25">
      <c r="A8" s="24" t="s">
        <v>50</v>
      </c>
    </row>
    <row r="9" spans="1:2" x14ac:dyDescent="0.25">
      <c r="A9" s="24" t="s">
        <v>48</v>
      </c>
      <c r="B9" s="24" t="s">
        <v>43</v>
      </c>
    </row>
    <row r="10" spans="1:2" x14ac:dyDescent="0.25">
      <c r="A10" s="25" t="s">
        <v>22</v>
      </c>
      <c r="B10" s="28">
        <v>47.047692307692309</v>
      </c>
    </row>
    <row r="11" spans="1:2" x14ac:dyDescent="0.25">
      <c r="A11" s="25" t="s">
        <v>18</v>
      </c>
      <c r="B11" s="28">
        <v>41.622388059701493</v>
      </c>
    </row>
    <row r="12" spans="1:2" x14ac:dyDescent="0.25">
      <c r="A12" s="25" t="s">
        <v>10</v>
      </c>
      <c r="B12" s="28">
        <v>45.619117647058843</v>
      </c>
    </row>
    <row r="14" spans="1:2" x14ac:dyDescent="0.25">
      <c r="A14" s="25" t="s">
        <v>51</v>
      </c>
    </row>
    <row r="16" spans="1:2" x14ac:dyDescent="0.25">
      <c r="A16" s="24" t="s">
        <v>48</v>
      </c>
      <c r="B16" s="24" t="s">
        <v>43</v>
      </c>
    </row>
    <row r="17" spans="1:6" x14ac:dyDescent="0.25">
      <c r="A17" s="25" t="s">
        <v>15</v>
      </c>
      <c r="B17" s="28">
        <v>41.47659574468085</v>
      </c>
    </row>
    <row r="18" spans="1:6" x14ac:dyDescent="0.25">
      <c r="A18" s="25" t="s">
        <v>19</v>
      </c>
      <c r="B18" s="28">
        <v>42.316326530612251</v>
      </c>
    </row>
    <row r="19" spans="1:6" x14ac:dyDescent="0.25">
      <c r="A19" s="25" t="s">
        <v>23</v>
      </c>
      <c r="B19" s="28">
        <v>46.094230769230769</v>
      </c>
    </row>
    <row r="20" spans="1:6" x14ac:dyDescent="0.25">
      <c r="A20" s="25" t="s">
        <v>11</v>
      </c>
      <c r="B20" s="28">
        <v>48.636538461538471</v>
      </c>
    </row>
    <row r="23" spans="1:6" x14ac:dyDescent="0.25">
      <c r="A23" s="25" t="s">
        <v>56</v>
      </c>
    </row>
    <row r="24" spans="1:6" x14ac:dyDescent="0.25">
      <c r="A24" s="24" t="s">
        <v>48</v>
      </c>
      <c r="B24" s="24" t="s">
        <v>59</v>
      </c>
    </row>
    <row r="25" spans="1:6" x14ac:dyDescent="0.25">
      <c r="A25" s="25" t="s">
        <v>53</v>
      </c>
      <c r="B25" s="28">
        <v>73.982978723404258</v>
      </c>
    </row>
    <row r="26" spans="1:6" x14ac:dyDescent="0.25">
      <c r="A26" s="25" t="s">
        <v>55</v>
      </c>
      <c r="B26" s="28">
        <v>52.184810126582271</v>
      </c>
    </row>
    <row r="27" spans="1:6" x14ac:dyDescent="0.25">
      <c r="A27" s="25" t="s">
        <v>54</v>
      </c>
      <c r="B27" s="28">
        <v>22.164814814814822</v>
      </c>
    </row>
    <row r="28" spans="1:6" x14ac:dyDescent="0.25">
      <c r="A28" s="25" t="s">
        <v>52</v>
      </c>
      <c r="B28" s="28">
        <v>7.6099999999999994</v>
      </c>
    </row>
    <row r="31" spans="1:6" x14ac:dyDescent="0.25">
      <c r="A31" s="25"/>
    </row>
    <row r="32" spans="1:6" x14ac:dyDescent="0.25">
      <c r="A32" s="29" t="s">
        <v>69</v>
      </c>
      <c r="B32" s="29" t="s">
        <v>58</v>
      </c>
      <c r="C32" s="29"/>
      <c r="D32" s="29"/>
      <c r="E32" s="29"/>
      <c r="F32" s="29"/>
    </row>
    <row r="33" spans="1:9" x14ac:dyDescent="0.25">
      <c r="A33" s="29" t="s">
        <v>57</v>
      </c>
      <c r="B33" s="29" t="s">
        <v>21</v>
      </c>
      <c r="C33" s="29" t="s">
        <v>25</v>
      </c>
      <c r="D33" s="29" t="s">
        <v>14</v>
      </c>
      <c r="E33" s="29" t="s">
        <v>13</v>
      </c>
      <c r="F33" s="29" t="s">
        <v>17</v>
      </c>
      <c r="H33" s="25" t="s">
        <v>68</v>
      </c>
    </row>
    <row r="34" spans="1:9" x14ac:dyDescent="0.25">
      <c r="A34" s="30" t="s">
        <v>21</v>
      </c>
      <c r="B34" s="31">
        <v>43.18571428571429</v>
      </c>
      <c r="C34" s="31">
        <v>49.949999999999996</v>
      </c>
      <c r="D34" s="31">
        <v>32.022222222222226</v>
      </c>
      <c r="E34" s="31">
        <v>46.927272727272729</v>
      </c>
      <c r="F34" s="31">
        <v>45.489999999999995</v>
      </c>
      <c r="H34" s="24" t="s">
        <v>48</v>
      </c>
      <c r="I34" s="24" t="s">
        <v>36</v>
      </c>
    </row>
    <row r="35" spans="1:9" x14ac:dyDescent="0.25">
      <c r="A35" s="30" t="s">
        <v>25</v>
      </c>
      <c r="B35" s="31">
        <v>44.8</v>
      </c>
      <c r="C35" s="31">
        <v>52.4</v>
      </c>
      <c r="D35" s="31">
        <v>50.142857142857146</v>
      </c>
      <c r="E35" s="31">
        <v>60.625</v>
      </c>
      <c r="F35" s="31">
        <v>46.524999999999999</v>
      </c>
      <c r="H35" s="25">
        <v>0</v>
      </c>
      <c r="I35" s="26">
        <v>7</v>
      </c>
    </row>
    <row r="36" spans="1:9" x14ac:dyDescent="0.25">
      <c r="A36" s="30" t="s">
        <v>14</v>
      </c>
      <c r="B36" s="31">
        <v>54.575000000000003</v>
      </c>
      <c r="C36" s="31">
        <v>50.216666666666661</v>
      </c>
      <c r="D36" s="31">
        <v>42.033333333333331</v>
      </c>
      <c r="E36" s="31">
        <v>66.86666666666666</v>
      </c>
      <c r="F36" s="31">
        <v>22.571428571428573</v>
      </c>
      <c r="H36" s="25">
        <v>1</v>
      </c>
      <c r="I36" s="26">
        <v>9</v>
      </c>
    </row>
    <row r="37" spans="1:9" x14ac:dyDescent="0.25">
      <c r="A37" s="30" t="s">
        <v>13</v>
      </c>
      <c r="B37" s="31">
        <v>44.190000000000005</v>
      </c>
      <c r="C37" s="31">
        <v>35.116666666666667</v>
      </c>
      <c r="D37" s="31">
        <v>43.863636363636367</v>
      </c>
      <c r="E37" s="31">
        <v>46.981818181818191</v>
      </c>
      <c r="F37" s="31">
        <v>48.77</v>
      </c>
      <c r="H37" s="25">
        <v>2</v>
      </c>
      <c r="I37" s="26">
        <v>12</v>
      </c>
    </row>
    <row r="38" spans="1:9" x14ac:dyDescent="0.25">
      <c r="A38" s="30" t="s">
        <v>17</v>
      </c>
      <c r="B38" s="31">
        <v>34.887500000000003</v>
      </c>
      <c r="C38" s="31">
        <v>52.055555555555557</v>
      </c>
      <c r="D38" s="31">
        <v>45.315384615384616</v>
      </c>
      <c r="E38" s="31">
        <v>44.671428571428571</v>
      </c>
      <c r="F38" s="31">
        <v>29.15</v>
      </c>
      <c r="H38" s="25">
        <v>3</v>
      </c>
      <c r="I38" s="26">
        <v>10</v>
      </c>
    </row>
    <row r="39" spans="1:9" x14ac:dyDescent="0.25">
      <c r="A39" s="23"/>
      <c r="B39" s="23"/>
      <c r="C39" s="23"/>
      <c r="D39" s="23"/>
      <c r="E39" s="23"/>
      <c r="F39" s="23"/>
      <c r="H39" s="25">
        <v>4</v>
      </c>
      <c r="I39" s="26">
        <v>10</v>
      </c>
    </row>
    <row r="40" spans="1:9" x14ac:dyDescent="0.25">
      <c r="A40" s="23"/>
      <c r="B40" s="23"/>
      <c r="C40" s="23"/>
      <c r="D40" s="23"/>
      <c r="E40" s="23"/>
      <c r="F40" s="23"/>
      <c r="H40" s="25">
        <v>5</v>
      </c>
      <c r="I40" s="26">
        <v>8</v>
      </c>
    </row>
    <row r="41" spans="1:9" x14ac:dyDescent="0.25">
      <c r="H41" s="25">
        <v>6</v>
      </c>
      <c r="I41" s="26">
        <v>6</v>
      </c>
    </row>
    <row r="42" spans="1:9" x14ac:dyDescent="0.25">
      <c r="H42" s="25">
        <v>7</v>
      </c>
      <c r="I42" s="26">
        <v>8</v>
      </c>
    </row>
    <row r="43" spans="1:9" x14ac:dyDescent="0.25">
      <c r="H43" s="25">
        <v>8</v>
      </c>
      <c r="I43" s="26">
        <v>15</v>
      </c>
    </row>
    <row r="44" spans="1:9" x14ac:dyDescent="0.25">
      <c r="H44" s="25">
        <v>9</v>
      </c>
      <c r="I44" s="26">
        <v>9</v>
      </c>
    </row>
    <row r="45" spans="1:9" x14ac:dyDescent="0.25">
      <c r="H45" s="25">
        <v>10</v>
      </c>
      <c r="I45" s="26">
        <v>9</v>
      </c>
    </row>
    <row r="46" spans="1:9" x14ac:dyDescent="0.25">
      <c r="H46" s="25">
        <v>11</v>
      </c>
      <c r="I46" s="26">
        <v>12</v>
      </c>
    </row>
    <row r="47" spans="1:9" x14ac:dyDescent="0.25">
      <c r="H47" s="25">
        <v>12</v>
      </c>
      <c r="I47" s="26">
        <v>10</v>
      </c>
    </row>
    <row r="48" spans="1:9" x14ac:dyDescent="0.25">
      <c r="H48" s="25">
        <v>13</v>
      </c>
      <c r="I48" s="26">
        <v>4</v>
      </c>
    </row>
    <row r="49" spans="8:9" x14ac:dyDescent="0.25">
      <c r="H49" s="25">
        <v>14</v>
      </c>
      <c r="I49" s="26">
        <v>7</v>
      </c>
    </row>
    <row r="50" spans="8:9" x14ac:dyDescent="0.25">
      <c r="H50" s="25">
        <v>15</v>
      </c>
      <c r="I50" s="26">
        <v>14</v>
      </c>
    </row>
    <row r="51" spans="8:9" x14ac:dyDescent="0.25">
      <c r="H51" s="25">
        <v>16</v>
      </c>
      <c r="I51" s="26">
        <v>9</v>
      </c>
    </row>
    <row r="52" spans="8:9" x14ac:dyDescent="0.25">
      <c r="H52" s="25">
        <v>17</v>
      </c>
      <c r="I52" s="26">
        <v>13</v>
      </c>
    </row>
    <row r="53" spans="8:9" x14ac:dyDescent="0.25">
      <c r="H53" s="25">
        <v>18</v>
      </c>
      <c r="I53" s="26">
        <v>7</v>
      </c>
    </row>
    <row r="54" spans="8:9" x14ac:dyDescent="0.25">
      <c r="H54" s="25">
        <v>19</v>
      </c>
      <c r="I54" s="26">
        <v>3</v>
      </c>
    </row>
    <row r="55" spans="8:9" x14ac:dyDescent="0.25">
      <c r="H55" s="25">
        <v>20</v>
      </c>
      <c r="I55" s="26">
        <v>5</v>
      </c>
    </row>
    <row r="56" spans="8:9" x14ac:dyDescent="0.25">
      <c r="H56" s="25">
        <v>21</v>
      </c>
      <c r="I56" s="26">
        <v>4</v>
      </c>
    </row>
    <row r="57" spans="8:9" x14ac:dyDescent="0.25">
      <c r="H57" s="25">
        <v>22</v>
      </c>
      <c r="I57" s="26">
        <v>5</v>
      </c>
    </row>
    <row r="58" spans="8:9" x14ac:dyDescent="0.25">
      <c r="H58" s="25">
        <v>23</v>
      </c>
      <c r="I58" s="26">
        <v>4</v>
      </c>
    </row>
  </sheetData>
  <conditionalFormatting pivot="1" sqref="B34:F38">
    <cfRule type="colorScale" priority="2">
      <colorScale>
        <cfvo type="min"/>
        <cfvo type="max"/>
        <color theme="9" tint="-0.249977111117893"/>
        <color rgb="FF6D4C41"/>
      </colorScale>
    </cfRule>
  </conditionalFormatting>
  <conditionalFormatting pivot="1" sqref="B10:B12">
    <cfRule type="colorScale" priority="1">
      <colorScale>
        <cfvo type="min"/>
        <cfvo type="max"/>
        <color theme="7"/>
        <color theme="5" tint="-0.499984740745262"/>
      </colorScale>
    </cfRule>
  </conditionalFormatting>
  <pageMargins left="0.7" right="0.7" top="0.75" bottom="0.75" header="0.3" footer="0.3"/>
  <pageSetup orientation="portrait"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785B-2A62-4DC7-9456-F6AC8BF9919C}">
  <dimension ref="A3:B46"/>
  <sheetViews>
    <sheetView workbookViewId="0"/>
  </sheetViews>
  <sheetFormatPr defaultRowHeight="15" x14ac:dyDescent="0.25"/>
  <cols>
    <col min="1" max="1" width="13.140625" bestFit="1" customWidth="1"/>
    <col min="2" max="2" width="16.7109375" bestFit="1" customWidth="1"/>
    <col min="3" max="3" width="24.85546875" bestFit="1" customWidth="1"/>
  </cols>
  <sheetData>
    <row r="3" spans="1:2" x14ac:dyDescent="0.25">
      <c r="A3" t="s">
        <v>61</v>
      </c>
    </row>
    <row r="4" spans="1:2" x14ac:dyDescent="0.25">
      <c r="A4" s="12" t="s">
        <v>48</v>
      </c>
      <c r="B4" t="s">
        <v>43</v>
      </c>
    </row>
    <row r="5" spans="1:2" x14ac:dyDescent="0.25">
      <c r="A5" s="15" t="s">
        <v>12</v>
      </c>
      <c r="B5" s="5">
        <v>42.267500000000005</v>
      </c>
    </row>
    <row r="6" spans="1:2" x14ac:dyDescent="0.25">
      <c r="A6" s="15" t="s">
        <v>20</v>
      </c>
      <c r="B6" s="5">
        <v>42.776363636363641</v>
      </c>
    </row>
    <row r="7" spans="1:2" x14ac:dyDescent="0.25">
      <c r="A7" s="15" t="s">
        <v>24</v>
      </c>
      <c r="B7" s="5">
        <v>43.172000000000004</v>
      </c>
    </row>
    <row r="8" spans="1:2" x14ac:dyDescent="0.25">
      <c r="A8" s="15" t="s">
        <v>16</v>
      </c>
      <c r="B8" s="5">
        <v>49.943636363636365</v>
      </c>
    </row>
    <row r="12" spans="1:2" x14ac:dyDescent="0.25">
      <c r="A12" t="s">
        <v>62</v>
      </c>
    </row>
    <row r="13" spans="1:2" x14ac:dyDescent="0.25">
      <c r="A13" s="12" t="s">
        <v>48</v>
      </c>
      <c r="B13" t="s">
        <v>36</v>
      </c>
    </row>
    <row r="14" spans="1:2" x14ac:dyDescent="0.25">
      <c r="A14" s="15" t="s">
        <v>15</v>
      </c>
      <c r="B14" s="6">
        <v>47</v>
      </c>
    </row>
    <row r="15" spans="1:2" x14ac:dyDescent="0.25">
      <c r="A15" s="15" t="s">
        <v>19</v>
      </c>
      <c r="B15" s="6">
        <v>49</v>
      </c>
    </row>
    <row r="16" spans="1:2" x14ac:dyDescent="0.25">
      <c r="A16" s="15" t="s">
        <v>11</v>
      </c>
      <c r="B16" s="6">
        <v>52</v>
      </c>
    </row>
    <row r="17" spans="1:2" x14ac:dyDescent="0.25">
      <c r="A17" s="15" t="s">
        <v>23</v>
      </c>
      <c r="B17" s="6">
        <v>52</v>
      </c>
    </row>
    <row r="21" spans="1:2" x14ac:dyDescent="0.25">
      <c r="A21" t="s">
        <v>63</v>
      </c>
    </row>
    <row r="22" spans="1:2" x14ac:dyDescent="0.25">
      <c r="A22" s="12" t="s">
        <v>48</v>
      </c>
      <c r="B22" t="s">
        <v>43</v>
      </c>
    </row>
    <row r="23" spans="1:2" x14ac:dyDescent="0.25">
      <c r="A23" s="15" t="s">
        <v>53</v>
      </c>
      <c r="B23" s="5">
        <v>69.610256410256397</v>
      </c>
    </row>
    <row r="24" spans="1:2" x14ac:dyDescent="0.25">
      <c r="A24" s="15" t="s">
        <v>55</v>
      </c>
      <c r="B24" s="5">
        <v>41.457377049180337</v>
      </c>
    </row>
    <row r="25" spans="1:2" x14ac:dyDescent="0.25">
      <c r="A25" s="15" t="s">
        <v>54</v>
      </c>
      <c r="B25" s="5">
        <v>19.976744186046517</v>
      </c>
    </row>
    <row r="26" spans="1:2" x14ac:dyDescent="0.25">
      <c r="A26" s="15" t="s">
        <v>64</v>
      </c>
      <c r="B26" s="5">
        <v>7.3000000000000007</v>
      </c>
    </row>
    <row r="30" spans="1:2" x14ac:dyDescent="0.25">
      <c r="A30" t="s">
        <v>65</v>
      </c>
    </row>
    <row r="31" spans="1:2" x14ac:dyDescent="0.25">
      <c r="A31" s="12" t="s">
        <v>48</v>
      </c>
      <c r="B31" t="s">
        <v>36</v>
      </c>
    </row>
    <row r="32" spans="1:2" x14ac:dyDescent="0.25">
      <c r="A32" s="15" t="s">
        <v>25</v>
      </c>
      <c r="B32" s="6">
        <v>28</v>
      </c>
    </row>
    <row r="33" spans="1:2" x14ac:dyDescent="0.25">
      <c r="A33" s="15" t="s">
        <v>14</v>
      </c>
      <c r="B33" s="6">
        <v>30</v>
      </c>
    </row>
    <row r="34" spans="1:2" x14ac:dyDescent="0.25">
      <c r="A34" s="15" t="s">
        <v>17</v>
      </c>
      <c r="B34" s="6">
        <v>41</v>
      </c>
    </row>
    <row r="35" spans="1:2" x14ac:dyDescent="0.25">
      <c r="A35" s="15" t="s">
        <v>21</v>
      </c>
      <c r="B35" s="6">
        <v>47</v>
      </c>
    </row>
    <row r="36" spans="1:2" x14ac:dyDescent="0.25">
      <c r="A36" s="15" t="s">
        <v>13</v>
      </c>
      <c r="B36" s="6">
        <v>54</v>
      </c>
    </row>
    <row r="40" spans="1:2" x14ac:dyDescent="0.25">
      <c r="A40" t="s">
        <v>66</v>
      </c>
    </row>
    <row r="41" spans="1:2" x14ac:dyDescent="0.25">
      <c r="A41" s="12" t="s">
        <v>48</v>
      </c>
      <c r="B41" t="s">
        <v>36</v>
      </c>
    </row>
    <row r="42" spans="1:2" x14ac:dyDescent="0.25">
      <c r="A42" s="15" t="s">
        <v>17</v>
      </c>
      <c r="B42" s="6">
        <v>35</v>
      </c>
    </row>
    <row r="43" spans="1:2" x14ac:dyDescent="0.25">
      <c r="A43" s="15" t="s">
        <v>13</v>
      </c>
      <c r="B43" s="6">
        <v>36</v>
      </c>
    </row>
    <row r="44" spans="1:2" x14ac:dyDescent="0.25">
      <c r="A44" s="15" t="s">
        <v>21</v>
      </c>
      <c r="B44" s="6">
        <v>38</v>
      </c>
    </row>
    <row r="45" spans="1:2" x14ac:dyDescent="0.25">
      <c r="A45" s="15" t="s">
        <v>25</v>
      </c>
      <c r="B45" s="6">
        <v>45</v>
      </c>
    </row>
    <row r="46" spans="1:2" x14ac:dyDescent="0.25">
      <c r="A46" s="15" t="s">
        <v>14</v>
      </c>
      <c r="B46" s="6">
        <v>46</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PG 1</vt:lpstr>
      <vt:lpstr>PG 2</vt:lpstr>
      <vt:lpstr>RAW DATA</vt:lpstr>
      <vt:lpstr>HANDS_ON</vt:lpstr>
      <vt:lpstr>PIVOT KPI </vt:lpstr>
      <vt:lpstr>OVERVIEW</vt:lpstr>
      <vt:lpstr>DRIVERS</vt:lpstr>
      <vt:lpstr>Time_Target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Faridah Uthman</dc:creator>
  <cp:lastModifiedBy>Faridah Uthman</cp:lastModifiedBy>
  <dcterms:created xsi:type="dcterms:W3CDTF">2026-10-06T18:10:39Z</dcterms:created>
  <dcterms:modified xsi:type="dcterms:W3CDTF">2026-10-07T13:15:33Z</dcterms:modified>
</cp:coreProperties>
</file>